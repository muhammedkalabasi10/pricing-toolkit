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4560" windowHeight="19940" tabRatio="600" firstSheet="0" activeTab="1" autoFilterDateGrouping="1"/>
  </bookViews>
  <sheets>
    <sheet name="Açıklama" sheetId="1" state="visible" r:id="rId1"/>
    <sheet name="Teklifle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mm\-dd\-yyyy\ h:mm"/>
    <numFmt numFmtId="165" formatCode="dd-mm-yyyy hh:MM"/>
    <numFmt numFmtId="166" formatCode="##.00"/>
  </numFmts>
  <fonts count="1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rgb="FF666666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808080"/>
      <sz val="10"/>
    </font>
    <font>
      <name val="Arial"/>
      <family val="2"/>
      <color rgb="FF808080"/>
      <sz val="10"/>
      <scheme val="minor"/>
    </font>
    <font>
      <name val="Arial"/>
      <family val="2"/>
      <color rgb="FF808080"/>
      <sz val="10"/>
    </font>
    <font>
      <name val="Arial"/>
      <family val="2"/>
      <b val="1"/>
      <color rgb="FF808080"/>
      <sz val="10"/>
    </font>
  </fonts>
  <fills count="9">
    <fill>
      <patternFill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  <fill>
      <patternFill patternType="solid">
        <fgColor rgb="FFFDE49A"/>
        <bgColor rgb="FFFDE49A"/>
      </patternFill>
    </fill>
    <fill>
      <patternFill patternType="solid">
        <fgColor rgb="FFFCD668"/>
        <bgColor rgb="FFFCD66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2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right" wrapText="1"/>
    </xf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  <xf numFmtId="9" fontId="2" fillId="0" borderId="0" applyAlignment="1" pivotButton="0" quotePrefix="0" xfId="0">
      <alignment wrapText="1"/>
    </xf>
    <xf numFmtId="9" fontId="5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top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/>
    </xf>
    <xf numFmtId="0" fontId="5" fillId="6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/>
    </xf>
    <xf numFmtId="0" fontId="10" fillId="0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 vertical="top"/>
    </xf>
    <xf numFmtId="9" fontId="9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right" vertical="top"/>
    </xf>
    <xf numFmtId="0" fontId="11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right" vertical="top"/>
    </xf>
    <xf numFmtId="165" fontId="9" fillId="0" borderId="0" applyAlignment="1" pivotButton="0" quotePrefix="0" xfId="0">
      <alignment horizontal="right" vertical="top"/>
    </xf>
    <xf numFmtId="165" fontId="11" fillId="0" borderId="0" applyAlignment="1" pivotButton="0" quotePrefix="0" xfId="0">
      <alignment horizontal="right" vertical="top"/>
    </xf>
    <xf numFmtId="165" fontId="12" fillId="0" borderId="0" applyAlignment="1" pivotButton="0" quotePrefix="0" xfId="0">
      <alignment horizontal="right" vertical="top"/>
    </xf>
    <xf numFmtId="0" fontId="9" fillId="4" borderId="1" applyAlignment="1" pivotButton="0" quotePrefix="0" xfId="0">
      <alignment horizontal="left" vertical="top"/>
    </xf>
    <xf numFmtId="0" fontId="11" fillId="4" borderId="1" applyAlignment="1" pivotButton="0" quotePrefix="0" xfId="0">
      <alignment horizontal="left" vertical="top"/>
    </xf>
    <xf numFmtId="9" fontId="9" fillId="4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center" vertical="top"/>
    </xf>
    <xf numFmtId="9" fontId="9" fillId="4" borderId="1" applyAlignment="1" pivotButton="0" quotePrefix="0" xfId="0">
      <alignment horizontal="right" vertical="top"/>
    </xf>
    <xf numFmtId="0" fontId="11" fillId="4" borderId="1" applyAlignment="1" pivotButton="0" quotePrefix="0" xfId="0">
      <alignment horizontal="right" vertical="top"/>
    </xf>
    <xf numFmtId="0" fontId="9" fillId="5" borderId="1" applyAlignment="1" pivotButton="0" quotePrefix="0" xfId="0">
      <alignment horizontal="left" vertical="top"/>
    </xf>
    <xf numFmtId="0" fontId="11" fillId="5" borderId="1" applyAlignment="1" pivotButton="0" quotePrefix="0" xfId="0">
      <alignment horizontal="left" vertical="top"/>
    </xf>
    <xf numFmtId="9" fontId="9" fillId="5" borderId="1" applyAlignment="1" pivotButton="0" quotePrefix="0" xfId="0">
      <alignment horizontal="right" vertical="top"/>
    </xf>
    <xf numFmtId="0" fontId="11" fillId="5" borderId="1" applyAlignment="1" pivotButton="0" quotePrefix="0" xfId="0">
      <alignment horizontal="right" vertical="top"/>
    </xf>
    <xf numFmtId="166" fontId="9" fillId="5" borderId="1" applyAlignment="1" pivotButton="0" quotePrefix="0" xfId="0">
      <alignment horizontal="right" vertical="top"/>
    </xf>
    <xf numFmtId="166" fontId="11" fillId="5" borderId="1" applyAlignment="1" pivotButton="0" quotePrefix="0" xfId="0">
      <alignment horizontal="right" vertical="top"/>
    </xf>
    <xf numFmtId="0" fontId="9" fillId="6" borderId="1" applyAlignment="1" pivotButton="0" quotePrefix="0" xfId="0">
      <alignment horizontal="left" vertical="top"/>
    </xf>
    <xf numFmtId="0" fontId="11" fillId="6" borderId="1" applyAlignment="1" pivotButton="0" quotePrefix="0" xfId="0">
      <alignment horizontal="left" vertical="top"/>
    </xf>
    <xf numFmtId="0" fontId="9" fillId="6" borderId="1" applyAlignment="1" pivotButton="0" quotePrefix="0" xfId="0">
      <alignment horizontal="right" vertical="top"/>
    </xf>
    <xf numFmtId="0" fontId="11" fillId="6" borderId="1" applyAlignment="1" pivotButton="0" quotePrefix="0" xfId="0">
      <alignment horizontal="right" vertical="top"/>
    </xf>
    <xf numFmtId="166" fontId="9" fillId="6" borderId="1" applyAlignment="1" pivotButton="0" quotePrefix="0" xfId="0">
      <alignment horizontal="right" vertical="top"/>
    </xf>
    <xf numFmtId="166" fontId="11" fillId="6" borderId="1" applyAlignment="1" pivotButton="0" quotePrefix="0" xfId="0">
      <alignment horizontal="right" vertical="top"/>
    </xf>
    <xf numFmtId="166" fontId="9" fillId="0" borderId="0" applyAlignment="1" pivotButton="0" quotePrefix="0" xfId="0">
      <alignment horizontal="right" vertical="top"/>
    </xf>
    <xf numFmtId="166" fontId="11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center" vertical="top"/>
    </xf>
    <xf numFmtId="0" fontId="11" fillId="0" borderId="0" applyAlignment="1" pivotButton="0" quotePrefix="0" xfId="0">
      <alignment horizontal="center" vertical="top"/>
    </xf>
    <xf numFmtId="166" fontId="9" fillId="7" borderId="0" applyAlignment="1" pivotButton="0" quotePrefix="0" xfId="0">
      <alignment horizontal="right" vertical="top"/>
    </xf>
    <xf numFmtId="166" fontId="11" fillId="7" borderId="0" applyAlignment="1" pivotButton="0" quotePrefix="0" xfId="0">
      <alignment horizontal="right" vertical="top"/>
    </xf>
    <xf numFmtId="166" fontId="11" fillId="8" borderId="0" applyAlignment="1" pivotButton="0" quotePrefix="0" xfId="0">
      <alignment horizontal="righ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erchant.qa.hepsiburada.com/v2/listings?tab=all&amp;page=1&amp;pageSize=10&amp;search=AYKPHZ9321-SY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merchant.hepsiburada.com/v2/listings?tab=all&amp;page=1&amp;pageSize=10&amp;search=HBV00000YGUCN" TargetMode="External" Id="rId1" /><Relationship Type="http://schemas.openxmlformats.org/officeDocument/2006/relationships/hyperlink" Target="https://merchant.hepsiburada.com/v2/listings?tab=all&amp;page=1&amp;pageSize=10&amp;search=HBV00000YGUCQ" TargetMode="External" Id="rId2" /><Relationship Type="http://schemas.openxmlformats.org/officeDocument/2006/relationships/hyperlink" Target="https://merchant.hepsiburada.com/v2/listings?tab=all&amp;page=1&amp;pageSize=10&amp;search=HBV00000YGUCM" TargetMode="External" Id="rId3" /><Relationship Type="http://schemas.openxmlformats.org/officeDocument/2006/relationships/hyperlink" Target="https://merchant.hepsiburada.com/v2/listings?tab=all&amp;page=1&amp;pageSize=10&amp;search=HBV00000YGUCP" TargetMode="External" Id="rId4" /><Relationship Type="http://schemas.openxmlformats.org/officeDocument/2006/relationships/hyperlink" Target="https://merchant.hepsiburada.com/v2/listings?tab=all&amp;page=1&amp;pageSize=10&amp;search=HBV00000YGUCO" TargetMode="External" Id="rId5" /><Relationship Type="http://schemas.openxmlformats.org/officeDocument/2006/relationships/hyperlink" Target="https://merchant.hepsiburada.com/v2/listings?tab=all&amp;page=1&amp;pageSize=10&amp;search=HBV000013HIJU" TargetMode="External" Id="rId6" /><Relationship Type="http://schemas.openxmlformats.org/officeDocument/2006/relationships/hyperlink" Target="https://merchant.hepsiburada.com/v2/listings?tab=all&amp;page=1&amp;pageSize=10&amp;search=HBV000018HG7R" TargetMode="External" Id="rId7" /><Relationship Type="http://schemas.openxmlformats.org/officeDocument/2006/relationships/hyperlink" Target="https://merchant.hepsiburada.com/v2/listings?tab=all&amp;page=1&amp;pageSize=10&amp;search=HBV000018HGPL" TargetMode="External" Id="rId8" /><Relationship Type="http://schemas.openxmlformats.org/officeDocument/2006/relationships/hyperlink" Target="https://merchant.hepsiburada.com/v2/listings?tab=all&amp;page=1&amp;pageSize=10&amp;search=HBV000018HGPN" TargetMode="External" Id="rId9" /><Relationship Type="http://schemas.openxmlformats.org/officeDocument/2006/relationships/hyperlink" Target="https://merchant.hepsiburada.com/v2/listings?tab=all&amp;page=1&amp;pageSize=10&amp;search=HBV000018HY3G" TargetMode="External" Id="rId10" /><Relationship Type="http://schemas.openxmlformats.org/officeDocument/2006/relationships/hyperlink" Target="https://merchant.hepsiburada.com/v2/listings?tab=all&amp;page=1&amp;pageSize=10&amp;search=HBV000018HY3W" TargetMode="External" Id="rId11" /><Relationship Type="http://schemas.openxmlformats.org/officeDocument/2006/relationships/hyperlink" Target="https://merchant.hepsiburada.com/v2/listings?tab=all&amp;page=1&amp;pageSize=10&amp;search=HBV000018HY2V" TargetMode="External" Id="rId12" /><Relationship Type="http://schemas.openxmlformats.org/officeDocument/2006/relationships/hyperlink" Target="https://merchant.hepsiburada.com/v2/listings?tab=all&amp;page=1&amp;pageSize=10&amp;search=HBV000018HY3U" TargetMode="External" Id="rId13" /><Relationship Type="http://schemas.openxmlformats.org/officeDocument/2006/relationships/hyperlink" Target="https://merchant.hepsiburada.com/v2/listings?tab=all&amp;page=1&amp;pageSize=10&amp;search=HBV000018HY3Y" TargetMode="External" Id="rId14" /><Relationship Type="http://schemas.openxmlformats.org/officeDocument/2006/relationships/hyperlink" Target="https://merchant.hepsiburada.com/v2/listings?tab=all&amp;page=1&amp;pageSize=10&amp;search=HBV000018HY32" TargetMode="External" Id="rId15" /><Relationship Type="http://schemas.openxmlformats.org/officeDocument/2006/relationships/hyperlink" Target="https://merchant.hepsiburada.com/v2/listings?tab=all&amp;page=1&amp;pageSize=10&amp;search=HBCV000001LF73" TargetMode="External" Id="rId16" /><Relationship Type="http://schemas.openxmlformats.org/officeDocument/2006/relationships/hyperlink" Target="https://merchant.hepsiburada.com/v2/listings?tab=all&amp;page=1&amp;pageSize=10&amp;search=HBCV000001LF74" TargetMode="External" Id="rId17" /><Relationship Type="http://schemas.openxmlformats.org/officeDocument/2006/relationships/hyperlink" Target="https://merchant.hepsiburada.com/v2/listings?tab=all&amp;page=1&amp;pageSize=10&amp;search=HBCV000001LF75" TargetMode="External" Id="rId18" /><Relationship Type="http://schemas.openxmlformats.org/officeDocument/2006/relationships/hyperlink" Target="https://merchant.hepsiburada.com/v2/listings?tab=all&amp;page=1&amp;pageSize=10&amp;search=HBV00000AKT7O" TargetMode="External" Id="rId19" /><Relationship Type="http://schemas.openxmlformats.org/officeDocument/2006/relationships/hyperlink" Target="https://merchant.hepsiburada.com/v2/listings?tab=all&amp;page=1&amp;pageSize=10&amp;search=HBV00000AKT7M" TargetMode="External" Id="rId20" /><Relationship Type="http://schemas.openxmlformats.org/officeDocument/2006/relationships/hyperlink" Target="https://merchant.hepsiburada.com/v2/listings?tab=all&amp;page=1&amp;pageSize=10&amp;search=HBV00000BPKCA" TargetMode="External" Id="rId21" /><Relationship Type="http://schemas.openxmlformats.org/officeDocument/2006/relationships/hyperlink" Target="https://merchant.hepsiburada.com/v2/listings?tab=all&amp;page=1&amp;pageSize=10&amp;search=HBV000008HS9O" TargetMode="External" Id="rId22" /><Relationship Type="http://schemas.openxmlformats.org/officeDocument/2006/relationships/hyperlink" Target="https://merchant.hepsiburada.com/v2/listings?tab=all&amp;page=1&amp;pageSize=10&amp;search=HBV000008HS9P" TargetMode="External" Id="rId23" /><Relationship Type="http://schemas.openxmlformats.org/officeDocument/2006/relationships/hyperlink" Target="https://merchant.hepsiburada.com/v2/listings?tab=all&amp;page=1&amp;pageSize=10&amp;search=HBCV0000A7T9WG" TargetMode="External" Id="rId24" /><Relationship Type="http://schemas.openxmlformats.org/officeDocument/2006/relationships/hyperlink" Target="https://merchant.hepsiburada.com/v2/listings?tab=all&amp;page=1&amp;pageSize=10&amp;search=HBCV0000A7T8TG" TargetMode="External" Id="rId25" /><Relationship Type="http://schemas.openxmlformats.org/officeDocument/2006/relationships/hyperlink" Target="https://merchant.hepsiburada.com/v2/listings?tab=all&amp;page=1&amp;pageSize=10&amp;search=HBCV0000A7T9AE" TargetMode="External" Id="rId26" /><Relationship Type="http://schemas.openxmlformats.org/officeDocument/2006/relationships/hyperlink" Target="https://merchant.hepsiburada.com/v2/listings?tab=all&amp;page=1&amp;pageSize=10&amp;search=HBV000007F6MA" TargetMode="External" Id="rId27" /><Relationship Type="http://schemas.openxmlformats.org/officeDocument/2006/relationships/hyperlink" Target="https://merchant.hepsiburada.com/v2/listings?tab=all&amp;page=1&amp;pageSize=10&amp;search=HBCV0000A7T9AF" TargetMode="External" Id="rId28" /><Relationship Type="http://schemas.openxmlformats.org/officeDocument/2006/relationships/hyperlink" Target="https://merchant.hepsiburada.com/v2/listings?tab=all&amp;page=1&amp;pageSize=10&amp;search=HBV000002OBQ6" TargetMode="External" Id="rId29" /><Relationship Type="http://schemas.openxmlformats.org/officeDocument/2006/relationships/hyperlink" Target="https://merchant.hepsiburada.com/v2/listings?tab=all&amp;page=1&amp;pageSize=10&amp;search=HBCV0000090IO9" TargetMode="External" Id="rId30" /><Relationship Type="http://schemas.openxmlformats.org/officeDocument/2006/relationships/hyperlink" Target="https://merchant.hepsiburada.com/v2/listings?tab=all&amp;page=1&amp;pageSize=10&amp;search=HBCV0000090IOB" TargetMode="External" Id="rId31" /><Relationship Type="http://schemas.openxmlformats.org/officeDocument/2006/relationships/hyperlink" Target="https://merchant.hepsiburada.com/v2/listings?tab=all&amp;page=1&amp;pageSize=10&amp;search=HBCV0000090IOD" TargetMode="External" Id="rId32" /><Relationship Type="http://schemas.openxmlformats.org/officeDocument/2006/relationships/hyperlink" Target="https://merchant.hepsiburada.com/v2/listings?tab=all&amp;page=1&amp;pageSize=10&amp;search=HBV000007F6P6" TargetMode="External" Id="rId33" /><Relationship Type="http://schemas.openxmlformats.org/officeDocument/2006/relationships/hyperlink" Target="https://merchant.hepsiburada.com/v2/listings?tab=all&amp;page=1&amp;pageSize=10&amp;search=HBCV0000AAZFB1" TargetMode="External" Id="rId34" /><Relationship Type="http://schemas.openxmlformats.org/officeDocument/2006/relationships/hyperlink" Target="https://merchant.hepsiburada.com/v2/listings?tab=all&amp;page=1&amp;pageSize=10&amp;search=HBCV0000AARJDM" TargetMode="External" Id="rId35" /><Relationship Type="http://schemas.openxmlformats.org/officeDocument/2006/relationships/hyperlink" Target="https://merchant.hepsiburada.com/v2/listings?tab=all&amp;page=1&amp;pageSize=10&amp;search=HBV000007F6PG" TargetMode="External" Id="rId36" /><Relationship Type="http://schemas.openxmlformats.org/officeDocument/2006/relationships/hyperlink" Target="https://merchant.hepsiburada.com/v2/listings?tab=all&amp;page=1&amp;pageSize=10&amp;search=HBCV00009WBG93" TargetMode="External" Id="rId37" /><Relationship Type="http://schemas.openxmlformats.org/officeDocument/2006/relationships/hyperlink" Target="https://merchant.hepsiburada.com/v2/listings?tab=all&amp;page=1&amp;pageSize=10&amp;search=HBCV00009WBG90" TargetMode="External" Id="rId38" /><Relationship Type="http://schemas.openxmlformats.org/officeDocument/2006/relationships/hyperlink" Target="https://merchant.hepsiburada.com/v2/listings?tab=all&amp;page=1&amp;pageSize=10&amp;search=HBCV0000APRJ6B" TargetMode="External" Id="rId39" /><Relationship Type="http://schemas.openxmlformats.org/officeDocument/2006/relationships/hyperlink" Target="https://merchant.hepsiburada.com/v2/listings?tab=all&amp;page=1&amp;pageSize=10&amp;search=HBCV0000AQTSCD" TargetMode="External" Id="rId40" /><Relationship Type="http://schemas.openxmlformats.org/officeDocument/2006/relationships/hyperlink" Target="https://merchant.hepsiburada.com/v2/listings?tab=all&amp;page=1&amp;pageSize=10&amp;search=HBCV0000CG48B5" TargetMode="External" Id="rId41" /><Relationship Type="http://schemas.openxmlformats.org/officeDocument/2006/relationships/hyperlink" Target="https://merchant.hepsiburada.com/v2/listings?tab=all&amp;page=1&amp;pageSize=10&amp;search=HBCV0000CG4M9S" TargetMode="External" Id="rId4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W217"/>
  <sheetViews>
    <sheetView workbookViewId="0">
      <selection activeCell="B5" sqref="B5"/>
    </sheetView>
  </sheetViews>
  <sheetFormatPr baseColWidth="10" defaultColWidth="12.6640625" defaultRowHeight="15" customHeight="1"/>
  <cols>
    <col width="35.33203125" customWidth="1" min="1" max="1"/>
    <col width="44.1640625" customWidth="1" min="2" max="2"/>
    <col width="30.6640625" customWidth="1" min="3" max="3"/>
    <col width="14.5" customWidth="1" min="4" max="26"/>
  </cols>
  <sheetData>
    <row r="1" ht="15.75" customHeight="1">
      <c r="A1" s="1" t="inlineStr">
        <is>
          <t>Excel Kolon Adı</t>
        </is>
      </c>
      <c r="B1" s="1" t="inlineStr">
        <is>
          <t>Karşılığı</t>
        </is>
      </c>
      <c r="C1" s="1" t="inlineStr">
        <is>
          <t>Örnek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 ht="14" customHeight="1">
      <c r="A2" s="3" t="inlineStr">
        <is>
          <t>Teklif Kodu</t>
        </is>
      </c>
      <c r="B2" s="2" t="inlineStr">
        <is>
          <t>Teklifin sistemdeki tanımlayıcı kodudur.</t>
        </is>
      </c>
      <c r="C2" s="4" t="n">
        <v>123456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 ht="14" customHeight="1">
      <c r="A3" s="3" t="inlineStr">
        <is>
          <t>Ürün Adı</t>
        </is>
      </c>
      <c r="B3" s="2" t="inlineStr">
        <is>
          <t>Ürünün adını belirtir.</t>
        </is>
      </c>
      <c r="C3" s="5" t="inlineStr">
        <is>
          <t>Phazz Brand Ayakkabı - 42, Siyah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 ht="14" customHeight="1">
      <c r="A4" s="6" t="inlineStr">
        <is>
          <t>SKU</t>
        </is>
      </c>
      <c r="B4" s="7" t="inlineStr">
        <is>
          <t>Teklif oluşturulan SKU bilgisini belirtir.</t>
        </is>
      </c>
      <c r="C4" s="8" t="inlineStr">
        <is>
          <t>HBV000000012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 ht="13" customHeight="1">
      <c r="A5" s="24" t="inlineStr">
        <is>
          <t>Ürün ID</t>
        </is>
      </c>
      <c r="B5" s="23" t="inlineStr">
        <is>
          <t>Ürün Id değerini gösterir.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 ht="13" customHeight="1">
      <c r="A6" s="9" t="inlineStr">
        <is>
          <t>Kategori</t>
        </is>
      </c>
      <c r="B6" s="10" t="inlineStr">
        <is>
          <t>Ürünün satış kategorisini belirtir.</t>
        </is>
      </c>
      <c r="C6" s="11" t="inlineStr">
        <is>
          <t>Elektronik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15.75" customHeight="1">
      <c r="A7" s="12" t="inlineStr">
        <is>
          <t>Mevcut Stok</t>
        </is>
      </c>
      <c r="B7" s="2" t="inlineStr">
        <is>
          <t>Ürünün stok adedini gösterir.</t>
        </is>
      </c>
      <c r="C7" s="2" t="n">
        <v>12</v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 ht="14" customHeight="1">
      <c r="A8" s="12" t="inlineStr">
        <is>
          <t>Başlangıç tarihi</t>
        </is>
      </c>
      <c r="B8" s="2" t="inlineStr">
        <is>
          <t>Teklif başlama tarihidir.</t>
        </is>
      </c>
      <c r="C8" s="13" t="inlineStr">
        <is>
          <t>21-03-2021 17:00</t>
        </is>
      </c>
      <c r="D8" s="2" t="n"/>
      <c r="E8" s="2" t="n"/>
      <c r="F8" s="2" t="n"/>
      <c r="G8" s="10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14" customHeight="1">
      <c r="A9" s="12" t="inlineStr">
        <is>
          <t>Bitiş Tarihi</t>
        </is>
      </c>
      <c r="B9" s="2" t="inlineStr">
        <is>
          <t>Teklif bitiş tarihidir.</t>
        </is>
      </c>
      <c r="C9" s="14" t="n">
        <v>44838.70833333334</v>
      </c>
      <c r="D9" s="2" t="n"/>
      <c r="E9" s="2" t="n"/>
      <c r="F9" s="2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14" customHeight="1">
      <c r="A10" s="12" t="inlineStr">
        <is>
          <t xml:space="preserve">Teklif Fiyatı </t>
        </is>
      </c>
      <c r="B10" s="2" t="inlineStr">
        <is>
          <t>Teklif edilen fiyat bilgisidir.</t>
        </is>
      </c>
      <c r="C10" s="2" t="n">
        <v>100</v>
      </c>
      <c r="D10" s="2" t="n"/>
      <c r="E10" s="2" t="n"/>
      <c r="F10" s="2" t="n"/>
      <c r="G10" s="10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 ht="15.75" customHeight="1">
      <c r="A11" s="12" t="inlineStr">
        <is>
          <t>Teklif Komisyonu</t>
        </is>
      </c>
      <c r="B11" s="2" t="inlineStr">
        <is>
          <t>Teklif edilen komisyon oranıdır.</t>
        </is>
      </c>
      <c r="C11" s="2" t="n">
        <v>8</v>
      </c>
      <c r="D11" s="2" t="n"/>
      <c r="E11" s="2" t="n"/>
      <c r="F11" s="2" t="n"/>
      <c r="G11" s="10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 ht="15.75" customHeight="1">
      <c r="A12" s="12" t="inlineStr">
        <is>
          <t>Güncel Durum</t>
        </is>
      </c>
      <c r="B12" s="2" t="inlineStr">
        <is>
          <t>Ürünün mevcut satış fiyatıdır.</t>
        </is>
      </c>
      <c r="C12" s="15" t="inlineStr">
        <is>
          <t>1099.00 TL</t>
        </is>
      </c>
      <c r="D12" s="2" t="n"/>
      <c r="E12" s="2" t="n"/>
      <c r="F12" s="2" t="n"/>
      <c r="G12" s="10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 ht="15.75" customHeight="1">
      <c r="A13" s="3" t="inlineStr">
        <is>
          <t>Güncel Komisyon</t>
        </is>
      </c>
      <c r="B13" s="2" t="inlineStr">
        <is>
          <t>Ürünün mevcut komisyon oranıdır.</t>
        </is>
      </c>
      <c r="C13" s="16" t="n">
        <v>0.15</v>
      </c>
      <c r="D13" s="2" t="n"/>
      <c r="E13" s="2" t="n"/>
      <c r="F13" s="2" t="n"/>
      <c r="G13" s="10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 ht="15.75" customHeight="1">
      <c r="A14" s="12" t="inlineStr">
        <is>
          <t>Uygulanacak Komisyon</t>
        </is>
      </c>
      <c r="B14" s="2" t="inlineStr">
        <is>
          <t>Seçilen fiyata göre uygulanacak komisyonu gösterir.</t>
        </is>
      </c>
      <c r="C14" s="17" t="n">
        <v>0.08</v>
      </c>
      <c r="D14" s="2" t="n"/>
      <c r="E14" s="2" t="n"/>
      <c r="F14" s="2" t="n"/>
      <c r="G14" s="10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 ht="15.75" customHeight="1">
      <c r="A15" s="3" t="inlineStr">
        <is>
          <t>Fiyat gir</t>
        </is>
      </c>
      <c r="B15" s="2" t="inlineStr">
        <is>
          <t>Teklfe katılmak isteğiniz fiyatı gireceğiniz alandır.</t>
        </is>
      </c>
      <c r="C15" s="2" t="n"/>
      <c r="D15" s="2" t="n"/>
      <c r="E15" s="2" t="n"/>
      <c r="F15" s="2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 ht="15.75" customHeight="1">
      <c r="D16" s="2" t="n"/>
      <c r="E16" s="2" t="n"/>
      <c r="F16" s="2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 ht="15.75" customHeight="1">
      <c r="A17" s="2" t="n"/>
      <c r="B17" s="2" t="n"/>
      <c r="C17" s="2" t="n"/>
      <c r="D17" s="2" t="n"/>
      <c r="E17" s="2" t="n"/>
      <c r="F17" s="2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 ht="15.75" customHeight="1">
      <c r="A18" s="2" t="n"/>
      <c r="B18" s="2" t="n"/>
      <c r="C18" s="2" t="n"/>
      <c r="D18" s="2" t="n"/>
      <c r="E18" s="2" t="n"/>
      <c r="F18" s="2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15.75" customHeight="1">
      <c r="A19" s="2" t="n"/>
      <c r="B19" s="2" t="n"/>
      <c r="C19" s="2" t="n"/>
      <c r="D19" s="2" t="n"/>
      <c r="E19" s="2" t="n"/>
      <c r="F19" s="2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15.75" customHeight="1">
      <c r="A20" s="2" t="n"/>
      <c r="B20" s="2" t="n"/>
      <c r="C20" s="2" t="n"/>
      <c r="D20" s="2" t="n"/>
      <c r="E20" s="2" t="n"/>
      <c r="F20" s="2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5.75" customHeight="1">
      <c r="A21" s="2" t="n"/>
      <c r="B21" s="2" t="n"/>
      <c r="C21" s="2" t="n"/>
      <c r="D21" s="2" t="n"/>
      <c r="E21" s="2" t="n"/>
      <c r="F21" s="2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5.75" customHeight="1">
      <c r="A22" s="2" t="n"/>
      <c r="B22" s="2" t="n"/>
      <c r="C22" s="2" t="n"/>
      <c r="D22" s="2" t="n"/>
      <c r="E22" s="2" t="n"/>
      <c r="F22" s="2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5.7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5.7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5.7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5.7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5.7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5.7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5.7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5.7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5.7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5.7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 ht="15.7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 ht="15.7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 ht="15.7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 ht="15.7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 ht="15.7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 ht="15.7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 ht="15.7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 ht="15.7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 ht="15.7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 ht="15.7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5.7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5.7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5.7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5.7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5.7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5.7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5.7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5.7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5.7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 ht="15.7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 ht="15.7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 ht="15.7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 ht="15.7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 ht="15.7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 ht="15.7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 ht="15.7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 ht="15.7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 ht="15.7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 ht="15.7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 ht="15.7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 ht="15.7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 ht="15.7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 ht="15.7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 ht="15.7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 ht="15.7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 ht="15.7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 ht="15.7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 ht="15.7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 ht="15.7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 ht="15.7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 ht="15.7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 ht="15.7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 ht="15.7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 ht="15.7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 ht="15.7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 ht="15.7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 ht="15.7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 ht="15.7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 ht="15.7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 ht="15.7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 ht="15.7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 ht="15.7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 ht="15.7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 ht="15.7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 ht="15.7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 ht="15.7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 ht="15.7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 ht="15.7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 ht="15.7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 ht="15.7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 ht="15.7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 ht="15.7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 ht="15.7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</row>
    <row r="96" ht="15.7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 ht="15.7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 ht="15.7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 ht="15.7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 ht="15.7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 ht="15.7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 ht="15.7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 ht="15.7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</row>
    <row r="104" ht="15.7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</row>
    <row r="105" ht="15.7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</row>
    <row r="106" ht="15.7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</row>
    <row r="107" ht="15.7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</row>
    <row r="108" ht="15.7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 ht="15.7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</row>
    <row r="110" ht="15.7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</row>
    <row r="111" ht="15.7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</row>
    <row r="112" ht="15.7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</row>
    <row r="113" ht="15.7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</row>
    <row r="114" ht="15.7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</row>
    <row r="115" ht="15.7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</row>
    <row r="116" ht="15.7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</row>
    <row r="117" ht="15.7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</row>
    <row r="118" ht="15.7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</row>
    <row r="119" ht="15.7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</row>
    <row r="120" ht="15.7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</row>
    <row r="121" ht="15.7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</row>
    <row r="122" ht="15.7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</row>
    <row r="123" ht="15.7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</row>
    <row r="124" ht="15.7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</row>
    <row r="125" ht="15.7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</row>
    <row r="126" ht="15.7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</row>
    <row r="127" ht="15.7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</row>
    <row r="128" ht="15.7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</row>
    <row r="129" ht="15.7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</row>
    <row r="130" ht="15.7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</row>
    <row r="131" ht="15.7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</row>
    <row r="132" ht="15.7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</row>
    <row r="133" ht="15.7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</row>
    <row r="134" ht="15.7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</row>
    <row r="135" ht="15.7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</row>
    <row r="136" ht="15.7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</row>
    <row r="137" ht="15.7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</row>
    <row r="138" ht="15.7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</row>
    <row r="139" ht="15.7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</row>
    <row r="140" ht="15.7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</row>
    <row r="141" ht="15.7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</row>
    <row r="142" ht="15.7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</row>
    <row r="143" ht="15.7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</row>
    <row r="144" ht="15.7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</row>
    <row r="145" ht="15.7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</row>
    <row r="146" ht="15.7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</row>
    <row r="147" ht="15.7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</row>
    <row r="148" ht="15.7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</row>
    <row r="149" ht="15.7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</row>
    <row r="150" ht="15.7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</row>
    <row r="151" ht="15.7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</row>
    <row r="152" ht="15.7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</row>
    <row r="153" ht="15.7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</row>
    <row r="154" ht="15.7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</row>
    <row r="155" ht="15.7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</row>
    <row r="156" ht="15.7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</row>
    <row r="157" ht="15.7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</row>
    <row r="158" ht="15.7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</row>
    <row r="159" ht="15.7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</row>
    <row r="160" ht="15.7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</row>
    <row r="161" ht="15.7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</row>
    <row r="162" ht="15.7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</row>
    <row r="163" ht="15.7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</row>
    <row r="164" ht="15.7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</row>
    <row r="165" ht="15.7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</row>
    <row r="166" ht="15.7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</row>
    <row r="167" ht="15.7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</row>
    <row r="168" ht="15.7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</row>
    <row r="169" ht="15.7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</row>
    <row r="170" ht="15.7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</row>
    <row r="171" ht="15.7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</row>
    <row r="172" ht="15.7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</row>
    <row r="173" ht="15.7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</row>
    <row r="174" ht="15.7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</row>
    <row r="175" ht="15.7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</row>
    <row r="176" ht="15.7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</row>
    <row r="177" ht="15.7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</row>
    <row r="178" ht="15.7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</row>
    <row r="179" ht="15.7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</row>
    <row r="180" ht="15.7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</row>
    <row r="181" ht="15.7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</row>
    <row r="182" ht="15.7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</row>
    <row r="183" ht="15.7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</row>
    <row r="184" ht="15.7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</row>
    <row r="185" ht="15.7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</row>
    <row r="186" ht="15.7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</row>
    <row r="187" ht="15.7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</row>
    <row r="188" ht="15.7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</row>
    <row r="189" ht="15.7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</row>
    <row r="190" ht="15.7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</row>
    <row r="191" ht="15.7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</row>
    <row r="192" ht="15.7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</row>
    <row r="193" ht="15.7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</row>
    <row r="194" ht="15.7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</row>
    <row r="195" ht="15.7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</row>
    <row r="196" ht="15.7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</row>
    <row r="197" ht="15.7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</row>
    <row r="198" ht="15.7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</row>
    <row r="199" ht="15.7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</row>
    <row r="200" ht="15.7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</row>
    <row r="201" ht="15.7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</row>
    <row r="202" ht="15.7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</row>
    <row r="203" ht="15.7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</row>
    <row r="204" ht="15.7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</row>
    <row r="205" ht="15.7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</row>
    <row r="206" ht="15.7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</row>
    <row r="207" ht="15.7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</row>
    <row r="208" ht="15.7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</row>
    <row r="209" ht="15.7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</row>
    <row r="210" ht="15.7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</row>
    <row r="211" ht="15.7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</row>
    <row r="212" ht="15.7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</row>
    <row r="213" ht="15.7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</row>
    <row r="214" ht="15.7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</row>
    <row r="215" ht="15.7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</row>
    <row r="216" ht="15.7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</row>
    <row r="217" ht="15.7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xmlns:r="http://schemas.openxmlformats.org/officeDocument/2006/relationships" ref="C3" r:id="rId1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H1000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R11" sqref="R11"/>
    </sheetView>
  </sheetViews>
  <sheetFormatPr baseColWidth="10" defaultColWidth="12.6640625" defaultRowHeight="15" customHeight="1"/>
  <cols>
    <col width="12.6640625" customWidth="1" style="37" min="1" max="1"/>
    <col width="85.34957122802734" customWidth="1" style="37" min="2" max="2"/>
    <col width="25.33203125" customWidth="1" style="38" min="3" max="4"/>
    <col width="20.83203125" customWidth="1" style="29" min="5" max="5"/>
    <col width="7" customWidth="1" style="29" min="6" max="6"/>
    <col width="14.83203125" customWidth="1" style="29" min="7" max="8"/>
    <col width="15.5" customWidth="1" style="29" min="9" max="9"/>
    <col width="11" customWidth="1" style="29" min="10" max="10"/>
    <col width="18.83203125" customWidth="1" style="29" min="11" max="11"/>
    <col width="16.6640625" customWidth="1" style="29" min="12" max="12"/>
    <col width="11" customWidth="1" style="29" min="13" max="13"/>
    <col width="18.83203125" customWidth="1" style="29" min="14" max="14"/>
    <col width="16.6640625" customWidth="1" style="29" min="15" max="15"/>
    <col width="10.33203125" customWidth="1" style="29" min="16" max="16"/>
    <col width="18.83203125" customWidth="1" style="29" min="17" max="17"/>
    <col width="14.5" customWidth="1" style="29" min="18" max="18"/>
    <col width="10.83203125" customWidth="1" style="29" min="19" max="19"/>
    <col width="14.5" customWidth="1" style="29" min="20" max="32"/>
    <col width="12.6640625" customWidth="1" style="29" min="33" max="16384"/>
  </cols>
  <sheetData>
    <row r="1" ht="51" customFormat="1" customHeight="1" s="25">
      <c r="A1" s="19" t="inlineStr">
        <is>
          <t>Teklif Kodu</t>
        </is>
      </c>
      <c r="B1" s="19" t="inlineStr">
        <is>
          <t>Ürün Adı</t>
        </is>
      </c>
      <c r="C1" s="18" t="inlineStr">
        <is>
          <t>SKU</t>
        </is>
      </c>
      <c r="D1" s="18" t="inlineStr">
        <is>
          <t>Ürün ID</t>
        </is>
      </c>
      <c r="E1" s="18" t="inlineStr">
        <is>
          <t>Kategori</t>
        </is>
      </c>
      <c r="F1" s="19" t="inlineStr">
        <is>
          <t>Mevcut Stok</t>
        </is>
      </c>
      <c r="G1" s="19" t="inlineStr">
        <is>
          <t>Başlangıç Tarihi</t>
        </is>
      </c>
      <c r="H1" s="19" t="inlineStr">
        <is>
          <t>Bitiş Tarihi</t>
        </is>
      </c>
      <c r="I1" s="20" t="inlineStr">
        <is>
          <t>Teklif Fiyatı 1</t>
        </is>
      </c>
      <c r="J1" s="20" t="inlineStr">
        <is>
          <t>Komisyon Teklifi 1</t>
        </is>
      </c>
      <c r="K1" s="20" t="inlineStr">
        <is>
          <t xml:space="preserve">Teklif 1 
Katılabileceğiniz Maximum Fiyat
</t>
        </is>
      </c>
      <c r="L1" s="21" t="inlineStr">
        <is>
          <t>Teklif Fiyatı 2</t>
        </is>
      </c>
      <c r="M1" s="21" t="inlineStr">
        <is>
          <t>Komisyon Teklifi 2</t>
        </is>
      </c>
      <c r="N1" s="21" t="inlineStr">
        <is>
          <t xml:space="preserve">Teklif 2
Katılabileceğiniz Maximum Fiyat
</t>
        </is>
      </c>
      <c r="O1" s="22" t="inlineStr">
        <is>
          <t>Teklif Fiyatı 3</t>
        </is>
      </c>
      <c r="P1" s="22" t="inlineStr">
        <is>
          <t>Komisyon Teklifi 3</t>
        </is>
      </c>
      <c r="Q1" s="22" t="inlineStr">
        <is>
          <t xml:space="preserve">Teklif 3
Katılabileceğiniz Maximum Fiyat
</t>
        </is>
      </c>
      <c r="R1" s="18" t="inlineStr">
        <is>
          <t>Güncel Fiyat</t>
        </is>
      </c>
      <c r="S1" s="18" t="inlineStr">
        <is>
          <t>Güncel Komisyon</t>
        </is>
      </c>
      <c r="T1" s="18" t="inlineStr">
        <is>
          <t>Uygulanacak Komisyon</t>
        </is>
      </c>
      <c r="U1" s="18" t="inlineStr">
        <is>
          <t>Fiyat Gir</t>
        </is>
      </c>
      <c r="V1" t="inlineStr">
        <is>
          <t>Kar/Zarar (Alış iskonto)</t>
        </is>
      </c>
      <c r="W1" t="inlineStr">
        <is>
          <t>Kar/Zarar (Alış iskonto + KDV %10)</t>
        </is>
      </c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</row>
    <row r="2" ht="15.75" customHeight="1">
      <c r="A2" s="26" t="n">
        <v>133564421</v>
      </c>
      <c r="B2" s="26" t="inlineStr">
        <is>
          <t>Jakarlı Geniş  Askılı Kadın Atlet  3 Adet</t>
        </is>
      </c>
      <c r="C2" s="46" t="inlineStr">
        <is>
          <t>HBV00000YGUCN</t>
        </is>
      </c>
      <c r="D2" s="46" t="inlineStr">
        <is>
          <t>HB00000YGUCL</t>
        </is>
      </c>
      <c r="E2" s="48" t="inlineStr">
        <is>
          <t>Atlet</t>
        </is>
      </c>
      <c r="F2" s="51" t="n">
        <v>10</v>
      </c>
      <c r="G2" s="54" t="n">
        <v>46092.1318099537</v>
      </c>
      <c r="H2" s="54" t="n">
        <v>46098.99930555555</v>
      </c>
      <c r="I2" s="57" t="inlineStr">
        <is>
          <t>522 TL - 511,01 TL</t>
        </is>
      </c>
      <c r="J2" s="59" t="inlineStr">
        <is>
          <t>9,9 %</t>
        </is>
      </c>
      <c r="K2" s="61" t="inlineStr">
        <is>
          <t>522</t>
        </is>
      </c>
      <c r="L2" s="63" t="inlineStr">
        <is>
          <t>511 TL - 489,01 TL</t>
        </is>
      </c>
      <c r="M2" s="65" t="inlineStr">
        <is>
          <t>9,2 %</t>
        </is>
      </c>
      <c r="N2" s="67" t="inlineStr">
        <is>
          <t>511</t>
        </is>
      </c>
      <c r="O2" s="69" t="inlineStr">
        <is>
          <t>489 TL - ve altı</t>
        </is>
      </c>
      <c r="P2" s="71" t="inlineStr">
        <is>
          <t>7,8 %</t>
        </is>
      </c>
      <c r="Q2" s="73" t="inlineStr">
        <is>
          <t>489</t>
        </is>
      </c>
      <c r="R2" s="46" t="n">
        <v>549</v>
      </c>
      <c r="S2" s="75" t="inlineStr">
        <is>
          <t>18 %</t>
        </is>
      </c>
      <c r="T2" s="77">
        <f>IF(ISBLANK(U2),"18 %",IF(U2&lt;=489,"7.8 %",IF(U2&lt;=511,"9.2 %",IF(U2&lt;=522,"9.9 %","18 %"))))</f>
        <v/>
      </c>
      <c r="U2" s="79" t="n">
        <v>522</v>
      </c>
      <c r="V2" t="n">
        <v>185.52</v>
      </c>
      <c r="W2" t="n">
        <v>165.54</v>
      </c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</row>
    <row r="3" ht="15.75" customHeight="1">
      <c r="A3" s="26" t="n">
        <v>133515211</v>
      </c>
      <c r="B3" s="26" t="inlineStr">
        <is>
          <t>Jakarlı Geniş  Askılı Kadın Atlet  3 Adet</t>
        </is>
      </c>
      <c r="C3" s="46" t="inlineStr">
        <is>
          <t>HBV00000YGUCQ</t>
        </is>
      </c>
      <c r="D3" s="46" t="inlineStr">
        <is>
          <t>HB00000YGUCL</t>
        </is>
      </c>
      <c r="E3" s="48" t="inlineStr">
        <is>
          <t>Atlet</t>
        </is>
      </c>
      <c r="F3" s="51" t="n">
        <v>10</v>
      </c>
      <c r="G3" s="54" t="n">
        <v>46092.11631083333</v>
      </c>
      <c r="H3" s="54" t="n">
        <v>46098.99930555555</v>
      </c>
      <c r="I3" s="57" t="inlineStr">
        <is>
          <t>522 TL - 511,01 TL</t>
        </is>
      </c>
      <c r="J3" s="59" t="inlineStr">
        <is>
          <t>9,9 %</t>
        </is>
      </c>
      <c r="K3" s="61" t="inlineStr">
        <is>
          <t>522</t>
        </is>
      </c>
      <c r="L3" s="64" t="inlineStr">
        <is>
          <t>511 TL - 489,01 TL</t>
        </is>
      </c>
      <c r="M3" s="66" t="inlineStr">
        <is>
          <t>9,2 %</t>
        </is>
      </c>
      <c r="N3" s="68" t="inlineStr">
        <is>
          <t>511</t>
        </is>
      </c>
      <c r="O3" s="70" t="inlineStr">
        <is>
          <t>489 TL - ve altı</t>
        </is>
      </c>
      <c r="P3" s="72" t="inlineStr">
        <is>
          <t>7,8 %</t>
        </is>
      </c>
      <c r="Q3" s="74" t="inlineStr">
        <is>
          <t>489</t>
        </is>
      </c>
      <c r="R3" s="46" t="n">
        <v>549</v>
      </c>
      <c r="S3" s="75" t="inlineStr">
        <is>
          <t>18 %</t>
        </is>
      </c>
      <c r="T3" s="78">
        <f>IF(ISBLANK(U3),"18 %",IF(U3&lt;=489,"7.8 %",IF(U3&lt;=511,"9.2 %",IF(U3&lt;=522,"9.9 %","18 %"))))</f>
        <v/>
      </c>
      <c r="U3" s="80" t="n">
        <v>522</v>
      </c>
      <c r="V3" t="n">
        <v>147.72</v>
      </c>
      <c r="W3" t="n">
        <v>123.96</v>
      </c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</row>
    <row r="4" ht="15.75" customHeight="1">
      <c r="A4" s="26" t="n">
        <v>133515188</v>
      </c>
      <c r="B4" s="26" t="inlineStr">
        <is>
          <t>Jakarlı Geniş  Askılı Kadın Atlet  3 Adet</t>
        </is>
      </c>
      <c r="C4" s="46" t="inlineStr">
        <is>
          <t>HBV00000YGUCM</t>
        </is>
      </c>
      <c r="D4" s="46" t="inlineStr">
        <is>
          <t>HB00000YGUCL</t>
        </is>
      </c>
      <c r="E4" s="48" t="inlineStr">
        <is>
          <t>Atlet</t>
        </is>
      </c>
      <c r="F4" s="52" t="n">
        <v>10</v>
      </c>
      <c r="G4" s="55" t="n">
        <v>46092.11630427084</v>
      </c>
      <c r="H4" s="55" t="n">
        <v>46098.99930555555</v>
      </c>
      <c r="I4" s="58" t="inlineStr">
        <is>
          <t>522 TL - 511,01 TL</t>
        </is>
      </c>
      <c r="J4" s="60" t="inlineStr">
        <is>
          <t>9,9 %</t>
        </is>
      </c>
      <c r="K4" s="62" t="inlineStr">
        <is>
          <t>522</t>
        </is>
      </c>
      <c r="L4" s="64" t="inlineStr">
        <is>
          <t>511 TL - 489,01 TL</t>
        </is>
      </c>
      <c r="M4" s="66" t="inlineStr">
        <is>
          <t>9,2 %</t>
        </is>
      </c>
      <c r="N4" s="68" t="inlineStr">
        <is>
          <t>511</t>
        </is>
      </c>
      <c r="O4" s="70" t="inlineStr">
        <is>
          <t>489 TL - ve altı</t>
        </is>
      </c>
      <c r="P4" s="72" t="inlineStr">
        <is>
          <t>7,8 %</t>
        </is>
      </c>
      <c r="Q4" s="74" t="inlineStr">
        <is>
          <t>489</t>
        </is>
      </c>
      <c r="R4" s="48" t="n">
        <v>549</v>
      </c>
      <c r="S4" s="76" t="inlineStr">
        <is>
          <t>18 %</t>
        </is>
      </c>
      <c r="T4" s="78">
        <f>IF(ISBLANK(U4),"18 %",IF(U4&lt;=489,"7.8 %",IF(U4&lt;=511,"9.2 %",IF(U4&lt;=522,"9.9 %","18 %"))))</f>
        <v/>
      </c>
      <c r="U4" s="80" t="n">
        <v>522</v>
      </c>
      <c r="V4" t="n">
        <v>199.02</v>
      </c>
      <c r="W4" t="n">
        <v>180.39</v>
      </c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</row>
    <row r="5" ht="15.75" customHeight="1">
      <c r="A5" s="26" t="n">
        <v>133515060</v>
      </c>
      <c r="B5" s="26" t="inlineStr">
        <is>
          <t>Jakarlı Geniş  Askılı Kadın Atlet  3 Adet</t>
        </is>
      </c>
      <c r="C5" s="46" t="inlineStr">
        <is>
          <t>HBV00000YGUCP</t>
        </is>
      </c>
      <c r="D5" s="46" t="inlineStr">
        <is>
          <t>HB00000YGUCL</t>
        </is>
      </c>
      <c r="E5" s="48" t="inlineStr">
        <is>
          <t>Atlet</t>
        </is>
      </c>
      <c r="F5" s="52" t="n">
        <v>10</v>
      </c>
      <c r="G5" s="55" t="n">
        <v>46092.1162700463</v>
      </c>
      <c r="H5" s="55" t="n">
        <v>46098.99930555555</v>
      </c>
      <c r="I5" s="58" t="inlineStr">
        <is>
          <t>522 TL - 511,01 TL</t>
        </is>
      </c>
      <c r="J5" s="60" t="inlineStr">
        <is>
          <t>9,9 %</t>
        </is>
      </c>
      <c r="K5" s="62" t="inlineStr">
        <is>
          <t>522</t>
        </is>
      </c>
      <c r="L5" s="64" t="inlineStr">
        <is>
          <t>511 TL - 489,01 TL</t>
        </is>
      </c>
      <c r="M5" s="66" t="inlineStr">
        <is>
          <t>9,2 %</t>
        </is>
      </c>
      <c r="N5" s="68" t="inlineStr">
        <is>
          <t>511</t>
        </is>
      </c>
      <c r="O5" s="70" t="inlineStr">
        <is>
          <t>489 TL - ve altı</t>
        </is>
      </c>
      <c r="P5" s="72" t="inlineStr">
        <is>
          <t>7,8 %</t>
        </is>
      </c>
      <c r="Q5" s="74" t="inlineStr">
        <is>
          <t>489</t>
        </is>
      </c>
      <c r="R5" s="48" t="n">
        <v>549</v>
      </c>
      <c r="S5" s="76" t="inlineStr">
        <is>
          <t>18 %</t>
        </is>
      </c>
      <c r="T5" s="78">
        <f>IF(ISBLANK(U5),"18 %",IF(U5&lt;=489,"7.8 %",IF(U5&lt;=511,"9.2 %",IF(U5&lt;=522,"9.9 %","18 %"))))</f>
        <v/>
      </c>
      <c r="U5" s="80" t="n">
        <v>522</v>
      </c>
      <c r="V5" t="n">
        <v>158.52</v>
      </c>
      <c r="W5" t="n">
        <v>135.84</v>
      </c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</row>
    <row r="6" ht="15.75" customHeight="1">
      <c r="A6" s="26" t="n">
        <v>133514931</v>
      </c>
      <c r="B6" s="26" t="inlineStr">
        <is>
          <t>Jakarlı Geniş  Askılı Kadın Atlet  3 Adet</t>
        </is>
      </c>
      <c r="C6" s="46" t="inlineStr">
        <is>
          <t>HBV00000YGUCO</t>
        </is>
      </c>
      <c r="D6" s="46" t="inlineStr">
        <is>
          <t>HB00000YGUCL</t>
        </is>
      </c>
      <c r="E6" s="48" t="inlineStr">
        <is>
          <t>Atlet</t>
        </is>
      </c>
      <c r="F6" s="52" t="n">
        <v>10</v>
      </c>
      <c r="G6" s="55" t="n">
        <v>46092.11623498843</v>
      </c>
      <c r="H6" s="55" t="n">
        <v>46098.99930555555</v>
      </c>
      <c r="I6" s="58" t="inlineStr">
        <is>
          <t>522 TL - 511,01 TL</t>
        </is>
      </c>
      <c r="J6" s="60" t="inlineStr">
        <is>
          <t>9,9 %</t>
        </is>
      </c>
      <c r="K6" s="62" t="inlineStr">
        <is>
          <t>522</t>
        </is>
      </c>
      <c r="L6" s="64" t="inlineStr">
        <is>
          <t>511 TL - 489,01 TL</t>
        </is>
      </c>
      <c r="M6" s="66" t="inlineStr">
        <is>
          <t>9,2 %</t>
        </is>
      </c>
      <c r="N6" s="68" t="inlineStr">
        <is>
          <t>511</t>
        </is>
      </c>
      <c r="O6" s="70" t="inlineStr">
        <is>
          <t>489 TL - ve altı</t>
        </is>
      </c>
      <c r="P6" s="72" t="inlineStr">
        <is>
          <t>7,8 %</t>
        </is>
      </c>
      <c r="Q6" s="74" t="inlineStr">
        <is>
          <t>489</t>
        </is>
      </c>
      <c r="R6" s="48" t="n">
        <v>549</v>
      </c>
      <c r="S6" s="76" t="inlineStr">
        <is>
          <t>18 %</t>
        </is>
      </c>
      <c r="T6" s="78">
        <f>IF(ISBLANK(U6),"18 %",IF(U6&lt;=489,"7.8 %",IF(U6&lt;=511,"9.2 %",IF(U6&lt;=522,"9.9 %","18 %"))))</f>
        <v/>
      </c>
      <c r="U6" s="80" t="n">
        <v>522</v>
      </c>
      <c r="V6" t="n">
        <v>172.02</v>
      </c>
      <c r="W6" t="n">
        <v>150.69</v>
      </c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</row>
    <row r="7" ht="15.75" customHeight="1">
      <c r="A7" s="26" t="n">
        <v>133574040</v>
      </c>
      <c r="B7" s="26" t="inlineStr">
        <is>
          <t>Erdem 3'Lü Erdem 1491 Erkek Lycrali Boxer</t>
        </is>
      </c>
      <c r="C7" s="46" t="inlineStr">
        <is>
          <t>HBV000013HIJU</t>
        </is>
      </c>
      <c r="D7" s="46" t="inlineStr">
        <is>
          <t>HB000013HIJT</t>
        </is>
      </c>
      <c r="E7" s="48" t="inlineStr">
        <is>
          <t>Boxer</t>
        </is>
      </c>
      <c r="F7" s="52" t="n">
        <v>20</v>
      </c>
      <c r="G7" s="55" t="n">
        <v>46092.13477467593</v>
      </c>
      <c r="H7" s="55" t="n">
        <v>46098.99930555555</v>
      </c>
      <c r="I7" s="58" t="inlineStr">
        <is>
          <t>949 TL - 929,01 TL</t>
        </is>
      </c>
      <c r="J7" s="60" t="inlineStr">
        <is>
          <t>9,9 %</t>
        </is>
      </c>
      <c r="K7" s="62" t="inlineStr">
        <is>
          <t>949</t>
        </is>
      </c>
      <c r="L7" s="64" t="inlineStr">
        <is>
          <t>929 TL - 889,01 TL</t>
        </is>
      </c>
      <c r="M7" s="66" t="inlineStr">
        <is>
          <t>9,2 %</t>
        </is>
      </c>
      <c r="N7" s="68" t="inlineStr">
        <is>
          <t>929</t>
        </is>
      </c>
      <c r="O7" s="70" t="inlineStr">
        <is>
          <t>889 TL - ve altı</t>
        </is>
      </c>
      <c r="P7" s="72" t="inlineStr">
        <is>
          <t>7,8 %</t>
        </is>
      </c>
      <c r="Q7" s="74" t="inlineStr">
        <is>
          <t>889</t>
        </is>
      </c>
      <c r="R7" s="48" t="n">
        <v>999</v>
      </c>
      <c r="S7" s="76" t="inlineStr">
        <is>
          <t>18 %</t>
        </is>
      </c>
      <c r="T7" s="78">
        <f>IF(ISBLANK(U7),"18 %",IF(U7&lt;=889,"7.8 %",IF(U7&lt;=929,"9.2 %",IF(U7&lt;=949,"9.9 %","18 %"))))</f>
        <v/>
      </c>
      <c r="U7" s="80" t="n">
        <v>949</v>
      </c>
      <c r="V7" t="n">
        <v>288.55</v>
      </c>
      <c r="W7" t="n">
        <v>240.4</v>
      </c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</row>
    <row r="8" ht="15.75" customHeight="1">
      <c r="A8" s="26" t="n">
        <v>133574565</v>
      </c>
      <c r="B8" s="26" t="inlineStr">
        <is>
          <t>Erdem İç Giyim Erkek Krem Uzun Don</t>
        </is>
      </c>
      <c r="C8" s="46" t="inlineStr">
        <is>
          <t>HBV000018HG7R</t>
        </is>
      </c>
      <c r="D8" s="46" t="inlineStr">
        <is>
          <t>HB000018HG7Q</t>
        </is>
      </c>
      <c r="E8" s="48" t="inlineStr">
        <is>
          <t>Boxer</t>
        </is>
      </c>
      <c r="F8" s="52" t="n">
        <v>30</v>
      </c>
      <c r="G8" s="55" t="n">
        <v>46092.13491322917</v>
      </c>
      <c r="H8" s="55" t="n">
        <v>46098.99930555555</v>
      </c>
      <c r="I8" s="58" t="inlineStr">
        <is>
          <t>949 TL - 929,01 TL</t>
        </is>
      </c>
      <c r="J8" s="60" t="inlineStr">
        <is>
          <t>9,9 %</t>
        </is>
      </c>
      <c r="K8" s="62" t="inlineStr">
        <is>
          <t>949</t>
        </is>
      </c>
      <c r="L8" s="64" t="inlineStr">
        <is>
          <t>929 TL - 889,01 TL</t>
        </is>
      </c>
      <c r="M8" s="66" t="inlineStr">
        <is>
          <t>9,2 %</t>
        </is>
      </c>
      <c r="N8" s="68" t="inlineStr">
        <is>
          <t>929</t>
        </is>
      </c>
      <c r="O8" s="70" t="inlineStr">
        <is>
          <t>889 TL - ve altı</t>
        </is>
      </c>
      <c r="P8" s="72" t="inlineStr">
        <is>
          <t>7,8 %</t>
        </is>
      </c>
      <c r="Q8" s="74" t="inlineStr">
        <is>
          <t>889</t>
        </is>
      </c>
      <c r="R8" s="48" t="n">
        <v>999</v>
      </c>
      <c r="S8" s="76" t="inlineStr">
        <is>
          <t>18 %</t>
        </is>
      </c>
      <c r="T8" s="78">
        <f>IF(ISBLANK(U8),"18 %",IF(U8&lt;=889,"7.8 %",IF(U8&lt;=929,"9.2 %",IF(U8&lt;=949,"9.9 %","18 %"))))</f>
        <v/>
      </c>
      <c r="U8" s="80" t="n">
        <v>949</v>
      </c>
      <c r="V8" t="n">
        <v>459.55</v>
      </c>
      <c r="W8" t="n">
        <v>428.5</v>
      </c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</row>
    <row r="9" ht="15.75" customHeight="1">
      <c r="A9" s="26" t="n">
        <v>133532526</v>
      </c>
      <c r="B9" s="26" t="inlineStr">
        <is>
          <t>Erdem İç Giyim Beyaz Amerikan Yaka T-Shirt Erkek S Beden Yumuşak Dokulu Pamuklu Kumaş</t>
        </is>
      </c>
      <c r="C9" s="46" t="inlineStr">
        <is>
          <t>HBV000018HGPL</t>
        </is>
      </c>
      <c r="D9" s="46" t="inlineStr">
        <is>
          <t>HB000018HGPK</t>
        </is>
      </c>
      <c r="E9" s="48" t="inlineStr">
        <is>
          <t>Fanila</t>
        </is>
      </c>
      <c r="F9" s="52" t="n">
        <v>29</v>
      </c>
      <c r="G9" s="55" t="n">
        <v>46092.12083646991</v>
      </c>
      <c r="H9" s="55" t="n">
        <v>46098.99930555555</v>
      </c>
      <c r="I9" s="58" t="inlineStr">
        <is>
          <t>617 TL - 604,01 TL</t>
        </is>
      </c>
      <c r="J9" s="60" t="inlineStr">
        <is>
          <t>9,9 %</t>
        </is>
      </c>
      <c r="K9" s="62" t="inlineStr">
        <is>
          <t>617</t>
        </is>
      </c>
      <c r="L9" s="64" t="inlineStr">
        <is>
          <t>604 TL - 578,01 TL</t>
        </is>
      </c>
      <c r="M9" s="66" t="inlineStr">
        <is>
          <t>9,2 %</t>
        </is>
      </c>
      <c r="N9" s="68" t="inlineStr">
        <is>
          <t>604</t>
        </is>
      </c>
      <c r="O9" s="70" t="inlineStr">
        <is>
          <t>578 TL - ve altı</t>
        </is>
      </c>
      <c r="P9" s="72" t="inlineStr">
        <is>
          <t>7,8 %</t>
        </is>
      </c>
      <c r="Q9" s="74" t="inlineStr">
        <is>
          <t>578</t>
        </is>
      </c>
      <c r="R9" s="48" t="n">
        <v>649</v>
      </c>
      <c r="S9" s="76" t="inlineStr">
        <is>
          <t>18 %</t>
        </is>
      </c>
      <c r="T9" s="78">
        <f>IF(ISBLANK(U9),"18 %",IF(U9&lt;=578,"7.8 %",IF(U9&lt;=604,"9.2 %",IF(U9&lt;=617,"9.9 %","18 %"))))</f>
        <v/>
      </c>
      <c r="U9" s="80" t="n">
        <v>617</v>
      </c>
      <c r="V9" t="n">
        <v>277.42</v>
      </c>
      <c r="W9" t="n">
        <v>258.07</v>
      </c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</row>
    <row r="10" ht="15.75" customHeight="1">
      <c r="A10" s="26" t="n">
        <v>133484807</v>
      </c>
      <c r="B10" s="26" t="inlineStr">
        <is>
          <t>Erdem Beyaz Penye Amerikan Yaka T-Shirt 1165</t>
        </is>
      </c>
      <c r="C10" s="46" t="inlineStr">
        <is>
          <t>HBV000018HGPN</t>
        </is>
      </c>
      <c r="D10" s="46" t="inlineStr">
        <is>
          <t>HB000018HGPK</t>
        </is>
      </c>
      <c r="E10" s="48" t="inlineStr">
        <is>
          <t>Fanila</t>
        </is>
      </c>
      <c r="F10" s="52" t="n">
        <v>28</v>
      </c>
      <c r="G10" s="55" t="n">
        <v>46092.1083527662</v>
      </c>
      <c r="H10" s="55" t="n">
        <v>46098.99930555555</v>
      </c>
      <c r="I10" s="58" t="inlineStr">
        <is>
          <t>617 TL - 604,01 TL</t>
        </is>
      </c>
      <c r="J10" s="60" t="inlineStr">
        <is>
          <t>9,7 %</t>
        </is>
      </c>
      <c r="K10" s="62" t="inlineStr">
        <is>
          <t>617</t>
        </is>
      </c>
      <c r="L10" s="64" t="inlineStr">
        <is>
          <t>604 TL - 578,01 TL</t>
        </is>
      </c>
      <c r="M10" s="66" t="inlineStr">
        <is>
          <t>8,8 %</t>
        </is>
      </c>
      <c r="N10" s="68" t="inlineStr">
        <is>
          <t>604</t>
        </is>
      </c>
      <c r="O10" s="70" t="inlineStr">
        <is>
          <t>578 TL - ve altı</t>
        </is>
      </c>
      <c r="P10" s="72" t="inlineStr">
        <is>
          <t>7,8 %</t>
        </is>
      </c>
      <c r="Q10" s="74" t="inlineStr">
        <is>
          <t>578</t>
        </is>
      </c>
      <c r="R10" s="48" t="n">
        <v>649</v>
      </c>
      <c r="S10" s="76" t="inlineStr">
        <is>
          <t>18 %</t>
        </is>
      </c>
      <c r="T10" s="78">
        <f>IF(ISBLANK(U10),"18 %",IF(U10&lt;=578,"7.8 %",IF(U10&lt;=604,"8.8 %",IF(U10&lt;=617,"9.7 %","18 %"))))</f>
        <v/>
      </c>
      <c r="U10" s="80" t="n">
        <v>617</v>
      </c>
      <c r="V10" t="n">
        <v>278.65</v>
      </c>
      <c r="W10" t="n">
        <v>259.3</v>
      </c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</row>
    <row r="11" ht="15.75" customHeight="1">
      <c r="A11" s="26" t="n">
        <v>133586184</v>
      </c>
      <c r="B11" s="26" t="inlineStr">
        <is>
          <t>Yeni İnci Balensiz Toparlayıcı Sütyen 1910</t>
        </is>
      </c>
      <c r="C11" s="46" t="inlineStr">
        <is>
          <t>HBV000018HY3G</t>
        </is>
      </c>
      <c r="D11" s="46" t="inlineStr">
        <is>
          <t>HB000018HY2G</t>
        </is>
      </c>
      <c r="E11" s="48" t="inlineStr">
        <is>
          <t>Sütyen</t>
        </is>
      </c>
      <c r="F11" s="53" t="n">
        <v>3</v>
      </c>
      <c r="G11" s="56" t="n">
        <v>46092.13806059028</v>
      </c>
      <c r="H11" s="56" t="n">
        <v>46098.99930555555</v>
      </c>
      <c r="I11" s="58" t="inlineStr">
        <is>
          <t>664 TL - 650,01 TL</t>
        </is>
      </c>
      <c r="J11" s="60" t="inlineStr">
        <is>
          <t>9,9 %</t>
        </is>
      </c>
      <c r="K11" s="62" t="inlineStr">
        <is>
          <t>664</t>
        </is>
      </c>
      <c r="L11" s="64" t="inlineStr">
        <is>
          <t>650 TL - 622,01 TL</t>
        </is>
      </c>
      <c r="M11" s="66" t="inlineStr">
        <is>
          <t>9,2 %</t>
        </is>
      </c>
      <c r="N11" s="68" t="inlineStr">
        <is>
          <t>650</t>
        </is>
      </c>
      <c r="O11" s="70" t="inlineStr">
        <is>
          <t>622 TL - ve altı</t>
        </is>
      </c>
      <c r="P11" s="72" t="inlineStr">
        <is>
          <t>7,8 %</t>
        </is>
      </c>
      <c r="Q11" s="74" t="inlineStr">
        <is>
          <t>622</t>
        </is>
      </c>
      <c r="R11" s="48" t="n">
        <v>699</v>
      </c>
      <c r="S11" s="76" t="inlineStr">
        <is>
          <t>18 %</t>
        </is>
      </c>
      <c r="T11" s="78">
        <f>IF(ISBLANK(U11),"18 %",IF(U11&lt;=622,"7.8 %",IF(U11&lt;=650,"9.2 %",IF(U11&lt;=664,"9.9 %","18 %"))))</f>
        <v/>
      </c>
      <c r="U11" s="80" t="n">
        <v>664</v>
      </c>
      <c r="V11" t="n">
        <v>173.26</v>
      </c>
      <c r="W11" t="n">
        <v>139.26</v>
      </c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</row>
    <row r="12" ht="15.75" customHeight="1">
      <c r="A12" s="26" t="n">
        <v>133578653</v>
      </c>
      <c r="B12" s="26" t="inlineStr">
        <is>
          <t>Yeni İnci Balensiz Toparlayıcı Sütyen 1910</t>
        </is>
      </c>
      <c r="C12" s="46" t="inlineStr">
        <is>
          <t>HBV000018HY3W</t>
        </is>
      </c>
      <c r="D12" s="46" t="inlineStr">
        <is>
          <t>HB000018HY2G</t>
        </is>
      </c>
      <c r="E12" s="48" t="inlineStr">
        <is>
          <t>Sütyen</t>
        </is>
      </c>
      <c r="F12" s="53" t="n">
        <v>4</v>
      </c>
      <c r="G12" s="56" t="n">
        <v>46092.13604394676</v>
      </c>
      <c r="H12" s="56" t="n">
        <v>46098.99930555555</v>
      </c>
      <c r="I12" s="58" t="inlineStr">
        <is>
          <t>617 TL - 604,01 TL</t>
        </is>
      </c>
      <c r="J12" s="60" t="inlineStr">
        <is>
          <t>9,9 %</t>
        </is>
      </c>
      <c r="K12" s="62" t="inlineStr">
        <is>
          <t>617</t>
        </is>
      </c>
      <c r="L12" s="64" t="inlineStr">
        <is>
          <t>604 TL - 578,01 TL</t>
        </is>
      </c>
      <c r="M12" s="66" t="inlineStr">
        <is>
          <t>9,2 %</t>
        </is>
      </c>
      <c r="N12" s="68" t="inlineStr">
        <is>
          <t>604</t>
        </is>
      </c>
      <c r="O12" s="70" t="inlineStr">
        <is>
          <t>578 TL - ve altı</t>
        </is>
      </c>
      <c r="P12" s="72" t="inlineStr">
        <is>
          <t>7,8 %</t>
        </is>
      </c>
      <c r="Q12" s="74" t="inlineStr">
        <is>
          <t>578</t>
        </is>
      </c>
      <c r="R12" s="48" t="n">
        <v>649</v>
      </c>
      <c r="S12" s="76" t="inlineStr">
        <is>
          <t>18 %</t>
        </is>
      </c>
      <c r="T12" s="78">
        <f>IF(ISBLANK(U12),"18 %",IF(U12&lt;=578,"7.8 %",IF(U12&lt;=604,"9.2 %",IF(U12&lt;=617,"9.9 %","18 %"))))</f>
        <v/>
      </c>
      <c r="U12" s="80" t="n">
        <v>617</v>
      </c>
      <c r="V12" t="n">
        <v>130.92</v>
      </c>
      <c r="W12" t="n">
        <v>96.92</v>
      </c>
      <c r="X12" s="27" t="n"/>
      <c r="Y12" s="27" t="n"/>
      <c r="Z12" s="27" t="n"/>
      <c r="AA12" s="27" t="n"/>
      <c r="AB12" s="27" t="n"/>
      <c r="AC12" s="27" t="n"/>
      <c r="AD12" s="27" t="n"/>
      <c r="AE12" s="27" t="n"/>
      <c r="AF12" s="27" t="n"/>
      <c r="AG12" s="27" t="n"/>
      <c r="AH12" s="27" t="n"/>
    </row>
    <row r="13" ht="15.75" customHeight="1">
      <c r="A13" s="26" t="n">
        <v>133531363</v>
      </c>
      <c r="B13" s="26" t="inlineStr">
        <is>
          <t>Yeni İnci Balensiz Toparlayıcı Sütyen 1910</t>
        </is>
      </c>
      <c r="C13" s="46" t="inlineStr">
        <is>
          <t>HBV000018HY2V</t>
        </is>
      </c>
      <c r="D13" s="46" t="inlineStr">
        <is>
          <t>HB000018HY2G</t>
        </is>
      </c>
      <c r="E13" s="48" t="inlineStr">
        <is>
          <t>Sütyen</t>
        </is>
      </c>
      <c r="F13" s="53" t="n">
        <v>4</v>
      </c>
      <c r="G13" s="56" t="n">
        <v>46092.12052708333</v>
      </c>
      <c r="H13" s="56" t="n">
        <v>46098.99930555555</v>
      </c>
      <c r="I13" s="58" t="inlineStr">
        <is>
          <t>617 TL - 604,01 TL</t>
        </is>
      </c>
      <c r="J13" s="60" t="inlineStr">
        <is>
          <t>9,9 %</t>
        </is>
      </c>
      <c r="K13" s="62" t="inlineStr">
        <is>
          <t>617</t>
        </is>
      </c>
      <c r="L13" s="64" t="inlineStr">
        <is>
          <t>604 TL - 578,01 TL</t>
        </is>
      </c>
      <c r="M13" s="66" t="inlineStr">
        <is>
          <t>9,2 %</t>
        </is>
      </c>
      <c r="N13" s="68" t="inlineStr">
        <is>
          <t>604</t>
        </is>
      </c>
      <c r="O13" s="70" t="inlineStr">
        <is>
          <t>578 TL - ve altı</t>
        </is>
      </c>
      <c r="P13" s="72" t="inlineStr">
        <is>
          <t>7,8 %</t>
        </is>
      </c>
      <c r="Q13" s="74" t="inlineStr">
        <is>
          <t>578</t>
        </is>
      </c>
      <c r="R13" s="48" t="n">
        <v>649</v>
      </c>
      <c r="S13" s="76" t="inlineStr">
        <is>
          <t>18 %</t>
        </is>
      </c>
      <c r="T13" s="78">
        <f>IF(ISBLANK(U13),"18 %",IF(U13&lt;=578,"7.8 %",IF(U13&lt;=604,"9.2 %",IF(U13&lt;=617,"9.9 %","18 %"))))</f>
        <v/>
      </c>
      <c r="U13" s="80" t="n">
        <v>617</v>
      </c>
      <c r="V13" t="n">
        <v>130.92</v>
      </c>
      <c r="W13" t="n">
        <v>96.92</v>
      </c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</row>
    <row r="14" ht="15.75" customHeight="1">
      <c r="A14" s="26" t="n">
        <v>133530045</v>
      </c>
      <c r="B14" s="26" t="inlineStr">
        <is>
          <t>Yeni İnci Balensiz Toparlayıcı Sütyen 1910</t>
        </is>
      </c>
      <c r="C14" s="46" t="inlineStr">
        <is>
          <t>HBV000018HY3U</t>
        </is>
      </c>
      <c r="D14" s="46" t="inlineStr">
        <is>
          <t>HB000018HY2G</t>
        </is>
      </c>
      <c r="E14" s="48" t="inlineStr">
        <is>
          <t>Sütyen</t>
        </is>
      </c>
      <c r="F14" s="52" t="n">
        <v>4</v>
      </c>
      <c r="G14" s="55" t="n">
        <v>46092.12018115741</v>
      </c>
      <c r="H14" s="55" t="n">
        <v>46098.99930555555</v>
      </c>
      <c r="I14" s="58" t="inlineStr">
        <is>
          <t>617 TL - 604,01 TL</t>
        </is>
      </c>
      <c r="J14" s="60" t="inlineStr">
        <is>
          <t>9,9 %</t>
        </is>
      </c>
      <c r="K14" s="62" t="inlineStr">
        <is>
          <t>617</t>
        </is>
      </c>
      <c r="L14" s="64" t="inlineStr">
        <is>
          <t>604 TL - 578,01 TL</t>
        </is>
      </c>
      <c r="M14" s="66" t="inlineStr">
        <is>
          <t>9,2 %</t>
        </is>
      </c>
      <c r="N14" s="68" t="inlineStr">
        <is>
          <t>604</t>
        </is>
      </c>
      <c r="O14" s="70" t="inlineStr">
        <is>
          <t>578 TL - ve altı</t>
        </is>
      </c>
      <c r="P14" s="72" t="inlineStr">
        <is>
          <t>7,8 %</t>
        </is>
      </c>
      <c r="Q14" s="74" t="inlineStr">
        <is>
          <t>578</t>
        </is>
      </c>
      <c r="R14" s="48" t="n">
        <v>649</v>
      </c>
      <c r="S14" s="76" t="inlineStr">
        <is>
          <t>18 %</t>
        </is>
      </c>
      <c r="T14" s="78">
        <f>IF(ISBLANK(U14),"18 %",IF(U14&lt;=578,"7.8 %",IF(U14&lt;=604,"9.2 %",IF(U14&lt;=617,"9.9 %","18 %"))))</f>
        <v/>
      </c>
      <c r="U14" s="80" t="n">
        <v>617</v>
      </c>
      <c r="V14" t="n">
        <v>130.92</v>
      </c>
      <c r="W14" t="n">
        <v>96.92</v>
      </c>
      <c r="X14" s="27" t="n"/>
      <c r="Y14" s="27" t="n"/>
      <c r="Z14" s="27" t="n"/>
      <c r="AA14" s="27" t="n"/>
      <c r="AB14" s="27" t="n"/>
      <c r="AC14" s="27" t="n"/>
      <c r="AD14" s="27" t="n"/>
      <c r="AE14" s="27" t="n"/>
      <c r="AF14" s="27" t="n"/>
      <c r="AG14" s="27" t="n"/>
      <c r="AH14" s="27" t="n"/>
    </row>
    <row r="15" ht="15.75" customHeight="1">
      <c r="A15" s="26" t="n">
        <v>133529754</v>
      </c>
      <c r="B15" s="26" t="inlineStr">
        <is>
          <t>Yeni İnci Balensiz Toparlayıcı Sütyen 1910</t>
        </is>
      </c>
      <c r="C15" s="46" t="inlineStr">
        <is>
          <t>HBV000018HY3Y</t>
        </is>
      </c>
      <c r="D15" s="46" t="inlineStr">
        <is>
          <t>HB000018HY2G</t>
        </is>
      </c>
      <c r="E15" s="48" t="inlineStr">
        <is>
          <t>Sütyen</t>
        </is>
      </c>
      <c r="F15" s="52" t="n">
        <v>29</v>
      </c>
      <c r="G15" s="55" t="n">
        <v>46092.12010451389</v>
      </c>
      <c r="H15" s="55" t="n">
        <v>46098.99930555555</v>
      </c>
      <c r="I15" s="58" t="inlineStr">
        <is>
          <t>617 TL - 604,01 TL</t>
        </is>
      </c>
      <c r="J15" s="60" t="inlineStr">
        <is>
          <t>9,9 %</t>
        </is>
      </c>
      <c r="K15" s="62" t="inlineStr">
        <is>
          <t>617</t>
        </is>
      </c>
      <c r="L15" s="64" t="inlineStr">
        <is>
          <t>604 TL - 578,01 TL</t>
        </is>
      </c>
      <c r="M15" s="66" t="inlineStr">
        <is>
          <t>9,2 %</t>
        </is>
      </c>
      <c r="N15" s="68" t="inlineStr">
        <is>
          <t>604</t>
        </is>
      </c>
      <c r="O15" s="70" t="inlineStr">
        <is>
          <t>578 TL - ve altı</t>
        </is>
      </c>
      <c r="P15" s="72" t="inlineStr">
        <is>
          <t>7,8 %</t>
        </is>
      </c>
      <c r="Q15" s="74" t="inlineStr">
        <is>
          <t>578</t>
        </is>
      </c>
      <c r="R15" s="48" t="n">
        <v>649</v>
      </c>
      <c r="S15" s="76" t="inlineStr">
        <is>
          <t>18 %</t>
        </is>
      </c>
      <c r="T15" s="78">
        <f>IF(ISBLANK(U15),"18 %",IF(U15&lt;=578,"7.8 %",IF(U15&lt;=604,"9.2 %",IF(U15&lt;=617,"9.9 %","18 %"))))</f>
        <v/>
      </c>
      <c r="U15" s="80" t="n">
        <v>617</v>
      </c>
      <c r="V15" t="n">
        <v>130.92</v>
      </c>
      <c r="W15" t="n">
        <v>96.92</v>
      </c>
      <c r="X15" s="27" t="n"/>
      <c r="Y15" s="27" t="n"/>
      <c r="Z15" s="27" t="n"/>
      <c r="AA15" s="27" t="n"/>
      <c r="AB15" s="27" t="n"/>
      <c r="AC15" s="27" t="n"/>
      <c r="AD15" s="27" t="n"/>
      <c r="AE15" s="27" t="n"/>
      <c r="AF15" s="27" t="n"/>
      <c r="AG15" s="27" t="n"/>
      <c r="AH15" s="27" t="n"/>
    </row>
    <row r="16" ht="15.75" customHeight="1">
      <c r="A16" s="26" t="n">
        <v>133529135</v>
      </c>
      <c r="B16" s="26" t="inlineStr">
        <is>
          <t>Yeni İnci Balensiz Toparlayıcı Sütyen 1910</t>
        </is>
      </c>
      <c r="C16" s="46" t="inlineStr">
        <is>
          <t>HBV000018HY32</t>
        </is>
      </c>
      <c r="D16" s="46" t="inlineStr">
        <is>
          <t>HB000018HY2G</t>
        </is>
      </c>
      <c r="E16" s="48" t="inlineStr">
        <is>
          <t>Sütyen</t>
        </is>
      </c>
      <c r="F16" s="53" t="n">
        <v>4</v>
      </c>
      <c r="G16" s="56" t="n">
        <v>46092.11994428241</v>
      </c>
      <c r="H16" s="56" t="n">
        <v>46098.99930555555</v>
      </c>
      <c r="I16" s="58" t="inlineStr">
        <is>
          <t>617 TL - 604,01 TL</t>
        </is>
      </c>
      <c r="J16" s="60" t="inlineStr">
        <is>
          <t>9,9 %</t>
        </is>
      </c>
      <c r="K16" s="62" t="inlineStr">
        <is>
          <t>617</t>
        </is>
      </c>
      <c r="L16" s="64" t="inlineStr">
        <is>
          <t>604 TL - 578,01 TL</t>
        </is>
      </c>
      <c r="M16" s="66" t="inlineStr">
        <is>
          <t>9,2 %</t>
        </is>
      </c>
      <c r="N16" s="68" t="inlineStr">
        <is>
          <t>604</t>
        </is>
      </c>
      <c r="O16" s="70" t="inlineStr">
        <is>
          <t>578 TL - ve altı</t>
        </is>
      </c>
      <c r="P16" s="72" t="inlineStr">
        <is>
          <t>7,8 %</t>
        </is>
      </c>
      <c r="Q16" s="74" t="inlineStr">
        <is>
          <t>578</t>
        </is>
      </c>
      <c r="R16" s="48" t="n">
        <v>649</v>
      </c>
      <c r="S16" s="76" t="inlineStr">
        <is>
          <t>18 %</t>
        </is>
      </c>
      <c r="T16" s="78">
        <f>IF(ISBLANK(U16),"18 %",IF(U16&lt;=578,"7.8 %",IF(U16&lt;=604,"9.2 %",IF(U16&lt;=617,"9.9 %","18 %"))))</f>
        <v/>
      </c>
      <c r="U16" s="80" t="n">
        <v>617</v>
      </c>
      <c r="V16" t="n">
        <v>130.92</v>
      </c>
      <c r="W16" t="n">
        <v>96.92</v>
      </c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</row>
    <row r="17" ht="15.75" customHeight="1">
      <c r="A17" s="26" t="n">
        <v>133889587</v>
      </c>
      <c r="B17" s="26" t="inlineStr">
        <is>
          <t>3'lü Erdem 1440 Poplın Erkek Boxer</t>
        </is>
      </c>
      <c r="C17" s="46" t="inlineStr">
        <is>
          <t>HBCV000001LF73</t>
        </is>
      </c>
      <c r="D17" s="46" t="inlineStr">
        <is>
          <t>HBC000001LF71</t>
        </is>
      </c>
      <c r="E17" s="48" t="inlineStr">
        <is>
          <t>Boxer</t>
        </is>
      </c>
      <c r="F17" s="52" t="n">
        <v>10</v>
      </c>
      <c r="G17" s="55" t="n">
        <v>46092.23074153935</v>
      </c>
      <c r="H17" s="55" t="n">
        <v>46098.99930555555</v>
      </c>
      <c r="I17" s="58" t="inlineStr">
        <is>
          <t>655 TL - 642,01 TL</t>
        </is>
      </c>
      <c r="J17" s="60" t="inlineStr">
        <is>
          <t>12 %</t>
        </is>
      </c>
      <c r="K17" s="62" t="inlineStr">
        <is>
          <t>655</t>
        </is>
      </c>
      <c r="L17" s="64" t="inlineStr">
        <is>
          <t>642 TL - 614,01 TL</t>
        </is>
      </c>
      <c r="M17" s="66" t="inlineStr">
        <is>
          <t>10,7 %</t>
        </is>
      </c>
      <c r="N17" s="68" t="inlineStr">
        <is>
          <t>642</t>
        </is>
      </c>
      <c r="O17" s="70" t="inlineStr">
        <is>
          <t>614 TL - ve altı</t>
        </is>
      </c>
      <c r="P17" s="72" t="inlineStr">
        <is>
          <t>9,7 %</t>
        </is>
      </c>
      <c r="Q17" s="74" t="inlineStr">
        <is>
          <t>614</t>
        </is>
      </c>
      <c r="R17" s="48" t="n">
        <v>799</v>
      </c>
      <c r="S17" s="76" t="inlineStr">
        <is>
          <t>18 %</t>
        </is>
      </c>
      <c r="T17" s="78">
        <f>IF(ISBLANK(U17),"18 %",IF(U17&lt;=614,"9.7 %",IF(U17&lt;=642,"10.7 %",IF(U17&lt;=655,"12 %","18 %"))))</f>
        <v/>
      </c>
      <c r="U17" s="81" t="n">
        <v>799</v>
      </c>
      <c r="V17" t="n">
        <v>-8.1</v>
      </c>
      <c r="W17" t="n">
        <v>-58.05</v>
      </c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</row>
    <row r="18" ht="15.75" customHeight="1">
      <c r="A18" s="26" t="n">
        <v>133846059</v>
      </c>
      <c r="B18" s="26" t="inlineStr">
        <is>
          <t>3'lü Erdem 1440 Poplın Erkek Boxer</t>
        </is>
      </c>
      <c r="C18" s="46" t="inlineStr">
        <is>
          <t>HBCV000001LF74</t>
        </is>
      </c>
      <c r="D18" s="46" t="inlineStr">
        <is>
          <t>HBC000001LF71</t>
        </is>
      </c>
      <c r="E18" s="49" t="inlineStr">
        <is>
          <t>Boxer</t>
        </is>
      </c>
      <c r="F18" s="53" t="n">
        <v>7</v>
      </c>
      <c r="G18" s="56" t="n">
        <v>46092.20666189815</v>
      </c>
      <c r="H18" s="56" t="n">
        <v>46098.99930555555</v>
      </c>
      <c r="I18" s="58" t="inlineStr">
        <is>
          <t>655 TL - 642,01 TL</t>
        </is>
      </c>
      <c r="J18" s="60" t="inlineStr">
        <is>
          <t>12 %</t>
        </is>
      </c>
      <c r="K18" s="62" t="inlineStr">
        <is>
          <t>655</t>
        </is>
      </c>
      <c r="L18" s="64" t="inlineStr">
        <is>
          <t>642 TL - 614,01 TL</t>
        </is>
      </c>
      <c r="M18" s="66" t="inlineStr">
        <is>
          <t>10,7 %</t>
        </is>
      </c>
      <c r="N18" s="68" t="inlineStr">
        <is>
          <t>642</t>
        </is>
      </c>
      <c r="O18" s="70" t="inlineStr">
        <is>
          <t>614 TL - ve altı</t>
        </is>
      </c>
      <c r="P18" s="72" t="inlineStr">
        <is>
          <t>9,7 %</t>
        </is>
      </c>
      <c r="Q18" s="74" t="inlineStr">
        <is>
          <t>614</t>
        </is>
      </c>
      <c r="R18" s="48" t="n">
        <v>899</v>
      </c>
      <c r="S18" s="76" t="inlineStr">
        <is>
          <t>18 %</t>
        </is>
      </c>
      <c r="T18" s="78">
        <f>IF(ISBLANK(U18),"18 %",IF(U18&lt;=614,"9.7 %",IF(U18&lt;=642,"10.7 %",IF(U18&lt;=655,"12 %","18 %"))))</f>
        <v/>
      </c>
      <c r="U18" s="81" t="n">
        <v>899</v>
      </c>
      <c r="V18" t="n">
        <v>-8.1</v>
      </c>
      <c r="W18" t="n">
        <v>-58.05</v>
      </c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</row>
    <row r="19" ht="15.75" customHeight="1">
      <c r="A19" s="26" t="n">
        <v>133846022</v>
      </c>
      <c r="B19" s="26" t="inlineStr">
        <is>
          <t>3'lü Erdem 1440 Poplın Erkek Boxer</t>
        </is>
      </c>
      <c r="C19" s="46" t="inlineStr">
        <is>
          <t>HBCV000001LF75</t>
        </is>
      </c>
      <c r="D19" s="46" t="inlineStr">
        <is>
          <t>HBC000001LF71</t>
        </is>
      </c>
      <c r="E19" s="49" t="inlineStr">
        <is>
          <t>Boxer</t>
        </is>
      </c>
      <c r="F19" s="53" t="n">
        <v>10</v>
      </c>
      <c r="G19" s="56" t="n">
        <v>46092.20665291667</v>
      </c>
      <c r="H19" s="56" t="n">
        <v>46098.99930555555</v>
      </c>
      <c r="I19" s="58" t="inlineStr">
        <is>
          <t>655 TL - 642,01 TL</t>
        </is>
      </c>
      <c r="J19" s="60" t="inlineStr">
        <is>
          <t>12 %</t>
        </is>
      </c>
      <c r="K19" s="62" t="inlineStr">
        <is>
          <t>655</t>
        </is>
      </c>
      <c r="L19" s="64" t="inlineStr">
        <is>
          <t>642 TL - 614,01 TL</t>
        </is>
      </c>
      <c r="M19" s="66" t="inlineStr">
        <is>
          <t>10,7 %</t>
        </is>
      </c>
      <c r="N19" s="68" t="inlineStr">
        <is>
          <t>642</t>
        </is>
      </c>
      <c r="O19" s="70" t="inlineStr">
        <is>
          <t>614 TL - ve altı</t>
        </is>
      </c>
      <c r="P19" s="72" t="inlineStr">
        <is>
          <t>9,7 %</t>
        </is>
      </c>
      <c r="Q19" s="74" t="inlineStr">
        <is>
          <t>614</t>
        </is>
      </c>
      <c r="R19" s="48" t="n">
        <v>799</v>
      </c>
      <c r="S19" s="76" t="inlineStr">
        <is>
          <t>18 %</t>
        </is>
      </c>
      <c r="T19" s="78">
        <f>IF(ISBLANK(U19),"18 %",IF(U19&lt;=614,"9.7 %",IF(U19&lt;=642,"10.7 %",IF(U19&lt;=655,"12 %","18 %"))))</f>
        <v/>
      </c>
      <c r="U19" s="81" t="n">
        <v>799</v>
      </c>
      <c r="V19" t="n">
        <v>-8.1</v>
      </c>
      <c r="W19" t="n">
        <v>-58.05</v>
      </c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</row>
    <row r="20" ht="15.75" customHeight="1">
      <c r="A20" s="26" t="n">
        <v>133706083</v>
      </c>
      <c r="B20" s="26" t="inlineStr">
        <is>
          <t>Dagi Kadın Sütyen B0169255SY</t>
        </is>
      </c>
      <c r="C20" s="46" t="inlineStr">
        <is>
          <t>HBV00000AKT7O</t>
        </is>
      </c>
      <c r="D20" s="46" t="inlineStr">
        <is>
          <t>HBC000021TR4M</t>
        </is>
      </c>
      <c r="E20" s="49" t="inlineStr">
        <is>
          <t>Hamile İç Giyim</t>
        </is>
      </c>
      <c r="F20" s="53" t="n">
        <v>10</v>
      </c>
      <c r="G20" s="56" t="n">
        <v>46092.17075438657</v>
      </c>
      <c r="H20" s="56" t="n">
        <v>46098.99930555555</v>
      </c>
      <c r="I20" s="58" t="inlineStr">
        <is>
          <t>887 TL - 883,01 TL</t>
        </is>
      </c>
      <c r="J20" s="60" t="inlineStr">
        <is>
          <t>10,2 %</t>
        </is>
      </c>
      <c r="K20" s="62" t="inlineStr">
        <is>
          <t>887</t>
        </is>
      </c>
      <c r="L20" s="64" t="inlineStr">
        <is>
          <t>883 TL - 849,01 TL</t>
        </is>
      </c>
      <c r="M20" s="66" t="inlineStr">
        <is>
          <t>9,2 %</t>
        </is>
      </c>
      <c r="N20" s="68" t="inlineStr">
        <is>
          <t>883</t>
        </is>
      </c>
      <c r="O20" s="70" t="inlineStr">
        <is>
          <t>849 TL - ve altı</t>
        </is>
      </c>
      <c r="P20" s="72" t="inlineStr">
        <is>
          <t>7,8 %</t>
        </is>
      </c>
      <c r="Q20" s="74" t="inlineStr">
        <is>
          <t>849</t>
        </is>
      </c>
      <c r="R20" s="48" t="n">
        <v>899</v>
      </c>
      <c r="S20" s="76" t="inlineStr">
        <is>
          <t>18 %</t>
        </is>
      </c>
      <c r="T20" s="78">
        <f>IF(ISBLANK(U20),"18 %",IF(U20&lt;=849,"7.8 %",IF(U20&lt;=883,"9.2 %",IF(U20&lt;=887,"10.2 %","18 %"))))</f>
        <v/>
      </c>
      <c r="U20" s="80" t="n">
        <v>887</v>
      </c>
      <c r="V20" t="n">
        <v>251.53</v>
      </c>
      <c r="W20" t="n">
        <v>205.53</v>
      </c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</row>
    <row r="21" ht="15.75" customHeight="1">
      <c r="A21" s="26" t="n">
        <v>133567246</v>
      </c>
      <c r="B21" s="26" t="inlineStr">
        <is>
          <t>Dagi Kadın Sütyen B0169255SY</t>
        </is>
      </c>
      <c r="C21" s="46" t="inlineStr">
        <is>
          <t>HBV00000AKT7M</t>
        </is>
      </c>
      <c r="D21" s="46" t="inlineStr">
        <is>
          <t>HBC000021TR4M</t>
        </is>
      </c>
      <c r="E21" s="50" t="inlineStr">
        <is>
          <t>Hamile İç Giyim</t>
        </is>
      </c>
      <c r="F21" s="51" t="n">
        <v>2</v>
      </c>
      <c r="G21" s="54" t="n">
        <v>46092.13264186343</v>
      </c>
      <c r="H21" s="54" t="n">
        <v>46098.99930555555</v>
      </c>
      <c r="I21" s="58" t="inlineStr">
        <is>
          <t>887 TL - 883,01 TL</t>
        </is>
      </c>
      <c r="J21" s="60" t="inlineStr">
        <is>
          <t>9,9 %</t>
        </is>
      </c>
      <c r="K21" s="62" t="inlineStr">
        <is>
          <t>887</t>
        </is>
      </c>
      <c r="L21" s="64" t="inlineStr">
        <is>
          <t>883 TL - 849,01 TL</t>
        </is>
      </c>
      <c r="M21" s="66" t="inlineStr">
        <is>
          <t>9 %</t>
        </is>
      </c>
      <c r="N21" s="68" t="inlineStr">
        <is>
          <t>883</t>
        </is>
      </c>
      <c r="O21" s="70" t="inlineStr">
        <is>
          <t>849 TL - ve altı</t>
        </is>
      </c>
      <c r="P21" s="72" t="inlineStr">
        <is>
          <t>7,8 %</t>
        </is>
      </c>
      <c r="Q21" s="74" t="inlineStr">
        <is>
          <t>849</t>
        </is>
      </c>
      <c r="R21" s="48" t="n">
        <v>899</v>
      </c>
      <c r="S21" s="76" t="inlineStr">
        <is>
          <t>18 %</t>
        </is>
      </c>
      <c r="T21" s="78">
        <f>IF(ISBLANK(U21),"18 %",IF(U21&lt;=849,"7.8 %",IF(U21&lt;=883,"9 %",IF(U21&lt;=887,"9.9 %","18 %"))))</f>
        <v/>
      </c>
      <c r="U21" s="80" t="n">
        <v>887</v>
      </c>
      <c r="V21" t="n">
        <v>254.19</v>
      </c>
      <c r="W21" t="n">
        <v>208.19</v>
      </c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</row>
    <row r="22" ht="15.75" customHeight="1">
      <c r="A22" s="26" t="n">
        <v>133849158</v>
      </c>
      <c r="B22" s="26" t="inlineStr">
        <is>
          <t>Dagi Siyah Lohusa Emzirme Atleti Kadın İç Giyim %95 Pamuk Esnek Kumaş Özellikli</t>
        </is>
      </c>
      <c r="C22" s="46" t="inlineStr">
        <is>
          <t>HBV00000BPKCA</t>
        </is>
      </c>
      <c r="D22" s="46" t="inlineStr">
        <is>
          <t>HBC000021TR5L</t>
        </is>
      </c>
      <c r="E22" s="48" t="inlineStr">
        <is>
          <t>Atlet</t>
        </is>
      </c>
      <c r="F22" s="52" t="n">
        <v>24</v>
      </c>
      <c r="G22" s="55" t="n">
        <v>46092.20752199074</v>
      </c>
      <c r="H22" s="55" t="n">
        <v>46098.99930555555</v>
      </c>
      <c r="I22" s="58" t="inlineStr">
        <is>
          <t>750 TL - 734,01 TL</t>
        </is>
      </c>
      <c r="J22" s="60" t="inlineStr">
        <is>
          <t>12 %</t>
        </is>
      </c>
      <c r="K22" s="62" t="inlineStr">
        <is>
          <t>750</t>
        </is>
      </c>
      <c r="L22" s="64" t="inlineStr">
        <is>
          <t>734 TL - 702,01 TL</t>
        </is>
      </c>
      <c r="M22" s="66" t="inlineStr">
        <is>
          <t>10,7 %</t>
        </is>
      </c>
      <c r="N22" s="68" t="inlineStr">
        <is>
          <t>734</t>
        </is>
      </c>
      <c r="O22" s="70" t="inlineStr">
        <is>
          <t>702 TL - ve altı</t>
        </is>
      </c>
      <c r="P22" s="72" t="inlineStr">
        <is>
          <t>9,7 %</t>
        </is>
      </c>
      <c r="Q22" s="74" t="inlineStr">
        <is>
          <t>702</t>
        </is>
      </c>
      <c r="R22" s="48" t="n">
        <v>769</v>
      </c>
      <c r="S22" s="76" t="inlineStr">
        <is>
          <t>18 %</t>
        </is>
      </c>
      <c r="T22" s="78">
        <f>IF(ISBLANK(U22),"18 %",IF(U22&lt;=702,"9.7 %",IF(U22&lt;=734,"10.7 %",IF(U22&lt;=750,"12 %","18 %"))))</f>
        <v/>
      </c>
      <c r="U22" s="80" t="n">
        <v>750</v>
      </c>
      <c r="V22" t="n">
        <v>170</v>
      </c>
      <c r="W22" t="n">
        <v>129.5</v>
      </c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</row>
    <row r="23" ht="15.75" customHeight="1">
      <c r="A23" s="37" t="n">
        <v>133622101</v>
      </c>
      <c r="B23" s="37" t="inlineStr">
        <is>
          <t>Dagi Erkek Termal Tek Alt Ekru</t>
        </is>
      </c>
      <c r="C23" s="47" t="inlineStr">
        <is>
          <t>HBV000008HS9O</t>
        </is>
      </c>
      <c r="D23" s="47" t="inlineStr">
        <is>
          <t>HBC000021U1V4</t>
        </is>
      </c>
      <c r="E23" s="48" t="inlineStr">
        <is>
          <t>Body (iç giyim)</t>
        </is>
      </c>
      <c r="F23" s="52" t="n">
        <v>5</v>
      </c>
      <c r="G23" s="55" t="n">
        <v>46092.14798675926</v>
      </c>
      <c r="H23" s="55" t="n">
        <v>46098.99930555555</v>
      </c>
      <c r="I23" s="58" t="inlineStr">
        <is>
          <t>1146 TL - 1120,01 TL</t>
        </is>
      </c>
      <c r="J23" s="60" t="inlineStr">
        <is>
          <t>7,8 %</t>
        </is>
      </c>
      <c r="K23" s="62" t="inlineStr">
        <is>
          <t>1146</t>
        </is>
      </c>
      <c r="L23" s="64" t="inlineStr">
        <is>
          <t>1120 TL - 1003,01 TL</t>
        </is>
      </c>
      <c r="M23" s="66" t="inlineStr">
        <is>
          <t>7,1 %</t>
        </is>
      </c>
      <c r="N23" s="68" t="inlineStr">
        <is>
          <t>1120</t>
        </is>
      </c>
      <c r="O23" s="70" t="inlineStr">
        <is>
          <t>1003 TL - ve altı</t>
        </is>
      </c>
      <c r="P23" s="72" t="inlineStr">
        <is>
          <t>5 %</t>
        </is>
      </c>
      <c r="Q23" s="74" t="inlineStr">
        <is>
          <t>1003</t>
        </is>
      </c>
      <c r="R23" s="48" t="n">
        <v>1299</v>
      </c>
      <c r="S23" s="76" t="inlineStr">
        <is>
          <t>18 %</t>
        </is>
      </c>
      <c r="T23" s="78">
        <f>IF(ISBLANK(U23),"18 %",IF(U23&lt;=1003,"5 %",IF(U23&lt;=1120,"7.1 %",IF(U23&lt;=1146,"7.8 %","18 %"))))</f>
        <v/>
      </c>
      <c r="U23" s="80" t="n">
        <v>1146</v>
      </c>
      <c r="V23" t="n">
        <v>344.61</v>
      </c>
      <c r="W23" t="n">
        <v>281.91</v>
      </c>
      <c r="X23" s="27" t="n"/>
      <c r="Y23" s="27" t="n"/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</row>
    <row r="24" ht="15.75" customHeight="1">
      <c r="A24" s="37" t="n">
        <v>133621680</v>
      </c>
      <c r="B24" s="37" t="inlineStr">
        <is>
          <t>Dagi Erkek Termal İçlik Tek Alt Ekru Renk Esnek Kumaş ile Gün Boyu Rahatlık 2XL</t>
        </is>
      </c>
      <c r="C24" s="47" t="inlineStr">
        <is>
          <t>HBV000008HS9P</t>
        </is>
      </c>
      <c r="D24" s="47" t="inlineStr">
        <is>
          <t>HBC000021U1V4</t>
        </is>
      </c>
      <c r="E24" s="48" t="inlineStr">
        <is>
          <t>Body (iç giyim)</t>
        </is>
      </c>
      <c r="F24" s="52" t="n">
        <v>2</v>
      </c>
      <c r="G24" s="55" t="n">
        <v>46092.14784527778</v>
      </c>
      <c r="H24" s="55" t="n">
        <v>46098.99930555555</v>
      </c>
      <c r="I24" s="58" t="inlineStr">
        <is>
          <t>1146 TL - 1120,01 TL</t>
        </is>
      </c>
      <c r="J24" s="60" t="inlineStr">
        <is>
          <t>7,8 %</t>
        </is>
      </c>
      <c r="K24" s="62" t="inlineStr">
        <is>
          <t>1146</t>
        </is>
      </c>
      <c r="L24" s="64" t="inlineStr">
        <is>
          <t>1120 TL - 1003,01 TL</t>
        </is>
      </c>
      <c r="M24" s="66" t="inlineStr">
        <is>
          <t>7,1 %</t>
        </is>
      </c>
      <c r="N24" s="68" t="inlineStr">
        <is>
          <t>1120</t>
        </is>
      </c>
      <c r="O24" s="70" t="inlineStr">
        <is>
          <t>1003 TL - ve altı</t>
        </is>
      </c>
      <c r="P24" s="72" t="inlineStr">
        <is>
          <t>5 %</t>
        </is>
      </c>
      <c r="Q24" s="74" t="inlineStr">
        <is>
          <t>1003</t>
        </is>
      </c>
      <c r="R24" s="48" t="n">
        <v>1299</v>
      </c>
      <c r="S24" s="76" t="inlineStr">
        <is>
          <t>18 %</t>
        </is>
      </c>
      <c r="T24" s="78">
        <f>IF(ISBLANK(U24),"18 %",IF(U24&lt;=1003,"5 %",IF(U24&lt;=1120,"7.1 %",IF(U24&lt;=1146,"7.8 %","18 %"))))</f>
        <v/>
      </c>
      <c r="U24" s="80" t="n">
        <v>1146</v>
      </c>
      <c r="V24" t="n">
        <v>344.61</v>
      </c>
      <c r="W24" t="n">
        <v>281.91</v>
      </c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</row>
    <row r="25" ht="15.75" customHeight="1">
      <c r="A25" s="37" t="n">
        <v>133600156</v>
      </c>
      <c r="B25" s="37" t="inlineStr">
        <is>
          <t>Dagi Erkek Termal Tek Alt Siyah</t>
        </is>
      </c>
      <c r="C25" s="47" t="inlineStr">
        <is>
          <t>HBCV0000A7T9WG</t>
        </is>
      </c>
      <c r="D25" s="47" t="inlineStr">
        <is>
          <t>HBC000021U1V4</t>
        </is>
      </c>
      <c r="E25" s="48" t="inlineStr">
        <is>
          <t>Body (iç giyim)</t>
        </is>
      </c>
      <c r="F25" s="52" t="n">
        <v>4</v>
      </c>
      <c r="G25" s="55" t="n">
        <v>46092.1417483912</v>
      </c>
      <c r="H25" s="55" t="n">
        <v>46098.99930555555</v>
      </c>
      <c r="I25" s="58" t="inlineStr">
        <is>
          <t>1208 TL - 1169,01 TL</t>
        </is>
      </c>
      <c r="J25" s="60" t="inlineStr">
        <is>
          <t>9,9 %</t>
        </is>
      </c>
      <c r="K25" s="62" t="inlineStr">
        <is>
          <t>1208</t>
        </is>
      </c>
      <c r="L25" s="64" t="inlineStr">
        <is>
          <t>1169 TL - 1137,01 TL</t>
        </is>
      </c>
      <c r="M25" s="66" t="inlineStr">
        <is>
          <t>9,2 %</t>
        </is>
      </c>
      <c r="N25" s="68" t="inlineStr">
        <is>
          <t>1169</t>
        </is>
      </c>
      <c r="O25" s="70" t="inlineStr">
        <is>
          <t>1137 TL - ve altı</t>
        </is>
      </c>
      <c r="P25" s="72" t="inlineStr">
        <is>
          <t>7,8 %</t>
        </is>
      </c>
      <c r="Q25" s="74" t="inlineStr">
        <is>
          <t>1137</t>
        </is>
      </c>
      <c r="R25" s="48" t="n">
        <v>1299</v>
      </c>
      <c r="S25" s="76" t="inlineStr">
        <is>
          <t>18 %</t>
        </is>
      </c>
      <c r="T25" s="78">
        <f>IF(ISBLANK(U25),"18 %",IF(U25&lt;=1137,"7.8 %",IF(U25&lt;=1169,"9.2 %",IF(U25&lt;=1208,"9.9 %","18 %"))))</f>
        <v/>
      </c>
      <c r="U25" s="80" t="n">
        <v>1208</v>
      </c>
      <c r="V25" t="n">
        <v>376.41</v>
      </c>
      <c r="W25" t="n">
        <v>313.71</v>
      </c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</row>
    <row r="26" ht="15.75" customHeight="1">
      <c r="A26" s="37" t="n">
        <v>133599767</v>
      </c>
      <c r="B26" s="37" t="inlineStr">
        <is>
          <t>Dagi Erkek Termal Tek Alt Siyah</t>
        </is>
      </c>
      <c r="C26" s="47" t="inlineStr">
        <is>
          <t>HBCV0000A7T8TG</t>
        </is>
      </c>
      <c r="D26" s="47" t="inlineStr">
        <is>
          <t>HBC000021U1V4</t>
        </is>
      </c>
      <c r="E26" s="48" t="inlineStr">
        <is>
          <t>Body (iç giyim)</t>
        </is>
      </c>
      <c r="F26" s="52" t="n">
        <v>4</v>
      </c>
      <c r="G26" s="55" t="n">
        <v>46092.14163900463</v>
      </c>
      <c r="H26" s="55" t="n">
        <v>46098.99930555555</v>
      </c>
      <c r="I26" s="58" t="inlineStr">
        <is>
          <t>1208 TL - 1169,01 TL</t>
        </is>
      </c>
      <c r="J26" s="60" t="inlineStr">
        <is>
          <t>9,9 %</t>
        </is>
      </c>
      <c r="K26" s="62" t="inlineStr">
        <is>
          <t>1208</t>
        </is>
      </c>
      <c r="L26" s="64" t="inlineStr">
        <is>
          <t>1169 TL - 1137,01 TL</t>
        </is>
      </c>
      <c r="M26" s="66" t="inlineStr">
        <is>
          <t>9,2 %</t>
        </is>
      </c>
      <c r="N26" s="68" t="inlineStr">
        <is>
          <t>1169</t>
        </is>
      </c>
      <c r="O26" s="70" t="inlineStr">
        <is>
          <t>1137 TL - ve altı</t>
        </is>
      </c>
      <c r="P26" s="72" t="inlineStr">
        <is>
          <t>7,8 %</t>
        </is>
      </c>
      <c r="Q26" s="74" t="inlineStr">
        <is>
          <t>1137</t>
        </is>
      </c>
      <c r="R26" s="48" t="n">
        <v>1299</v>
      </c>
      <c r="S26" s="76" t="inlineStr">
        <is>
          <t>18 %</t>
        </is>
      </c>
      <c r="T26" s="78">
        <f>IF(ISBLANK(U26),"18 %",IF(U26&lt;=1137,"7.8 %",IF(U26&lt;=1169,"9.2 %",IF(U26&lt;=1208,"9.9 %","18 %"))))</f>
        <v/>
      </c>
      <c r="U26" s="80" t="n">
        <v>1208</v>
      </c>
      <c r="V26" t="n">
        <v>376.41</v>
      </c>
      <c r="W26" t="n">
        <v>313.71</v>
      </c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</row>
    <row r="27" ht="15.75" customHeight="1">
      <c r="A27" s="37" t="n">
        <v>133599027</v>
      </c>
      <c r="B27" s="37" t="inlineStr">
        <is>
          <t>Dagi Erkek Termal Tek Alt Siyah</t>
        </is>
      </c>
      <c r="C27" s="47" t="inlineStr">
        <is>
          <t>HBCV0000A7T9AE</t>
        </is>
      </c>
      <c r="D27" s="47" t="inlineStr">
        <is>
          <t>HBC000021U1V4</t>
        </is>
      </c>
      <c r="E27" s="48" t="inlineStr">
        <is>
          <t>Body (iç giyim)</t>
        </is>
      </c>
      <c r="F27" s="52" t="n">
        <v>4</v>
      </c>
      <c r="G27" s="55" t="n">
        <v>46092.14142538195</v>
      </c>
      <c r="H27" s="55" t="n">
        <v>46098.99930555555</v>
      </c>
      <c r="I27" s="58" t="inlineStr">
        <is>
          <t>1208 TL - 1169,01 TL</t>
        </is>
      </c>
      <c r="J27" s="60" t="inlineStr">
        <is>
          <t>9,9 %</t>
        </is>
      </c>
      <c r="K27" s="62" t="inlineStr">
        <is>
          <t>1208</t>
        </is>
      </c>
      <c r="L27" s="64" t="inlineStr">
        <is>
          <t>1169 TL - 1137,01 TL</t>
        </is>
      </c>
      <c r="M27" s="66" t="inlineStr">
        <is>
          <t>9,2 %</t>
        </is>
      </c>
      <c r="N27" s="68" t="inlineStr">
        <is>
          <t>1169</t>
        </is>
      </c>
      <c r="O27" s="70" t="inlineStr">
        <is>
          <t>1137 TL - ve altı</t>
        </is>
      </c>
      <c r="P27" s="72" t="inlineStr">
        <is>
          <t>7,8 %</t>
        </is>
      </c>
      <c r="Q27" s="74" t="inlineStr">
        <is>
          <t>1137</t>
        </is>
      </c>
      <c r="R27" s="48" t="n">
        <v>1299</v>
      </c>
      <c r="S27" s="76" t="inlineStr">
        <is>
          <t>18 %</t>
        </is>
      </c>
      <c r="T27" s="78">
        <f>IF(ISBLANK(U27),"18 %",IF(U27&lt;=1137,"7.8 %",IF(U27&lt;=1169,"9.2 %",IF(U27&lt;=1208,"9.9 %","18 %"))))</f>
        <v/>
      </c>
      <c r="U27" s="80" t="n">
        <v>1208</v>
      </c>
      <c r="V27" t="n">
        <v>376.41</v>
      </c>
      <c r="W27" t="n">
        <v>313.71</v>
      </c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</row>
    <row r="28" ht="15.75" customHeight="1">
      <c r="A28" s="37" t="n">
        <v>133598576</v>
      </c>
      <c r="B28" s="37" t="inlineStr">
        <is>
          <t>Dagi Erkek Termal Tek Alt Ekru E010910890</t>
        </is>
      </c>
      <c r="C28" s="47" t="inlineStr">
        <is>
          <t>HBV000007F6MA</t>
        </is>
      </c>
      <c r="D28" s="47" t="inlineStr">
        <is>
          <t>HBC000021U1V4</t>
        </is>
      </c>
      <c r="E28" s="48" t="inlineStr">
        <is>
          <t>Body (iç giyim)</t>
        </is>
      </c>
      <c r="F28" s="52" t="n">
        <v>5</v>
      </c>
      <c r="G28" s="55" t="n">
        <v>46092.14129895833</v>
      </c>
      <c r="H28" s="55" t="n">
        <v>46098.99930555555</v>
      </c>
      <c r="I28" s="58" t="inlineStr">
        <is>
          <t>1208 TL - 1169,01 TL</t>
        </is>
      </c>
      <c r="J28" s="60" t="inlineStr">
        <is>
          <t>9,9 %</t>
        </is>
      </c>
      <c r="K28" s="62" t="inlineStr">
        <is>
          <t>1208</t>
        </is>
      </c>
      <c r="L28" s="64" t="inlineStr">
        <is>
          <t>1169 TL - 1137,01 TL</t>
        </is>
      </c>
      <c r="M28" s="66" t="inlineStr">
        <is>
          <t>9,2 %</t>
        </is>
      </c>
      <c r="N28" s="68" t="inlineStr">
        <is>
          <t>1169</t>
        </is>
      </c>
      <c r="O28" s="70" t="inlineStr">
        <is>
          <t>1137 TL - ve altı</t>
        </is>
      </c>
      <c r="P28" s="72" t="inlineStr">
        <is>
          <t>7,8 %</t>
        </is>
      </c>
      <c r="Q28" s="74" t="inlineStr">
        <is>
          <t>1137</t>
        </is>
      </c>
      <c r="R28" s="48" t="n">
        <v>1299</v>
      </c>
      <c r="S28" s="76" t="inlineStr">
        <is>
          <t>18 %</t>
        </is>
      </c>
      <c r="T28" s="78">
        <f>IF(ISBLANK(U28),"18 %",IF(U28&lt;=1137,"7.8 %",IF(U28&lt;=1169,"9.2 %",IF(U28&lt;=1208,"9.9 %","18 %"))))</f>
        <v/>
      </c>
      <c r="U28" s="80" t="n">
        <v>1208</v>
      </c>
      <c r="V28" t="n">
        <v>376.41</v>
      </c>
      <c r="W28" t="n">
        <v>313.71</v>
      </c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</row>
    <row r="29" ht="15.75" customHeight="1">
      <c r="A29" s="37" t="n">
        <v>133598393</v>
      </c>
      <c r="B29" s="37" t="inlineStr">
        <is>
          <t>Dagi Erkek Termal Tek Alt Siyah</t>
        </is>
      </c>
      <c r="C29" s="47" t="inlineStr">
        <is>
          <t>HBCV0000A7T9AF</t>
        </is>
      </c>
      <c r="D29" s="47" t="inlineStr">
        <is>
          <t>HBC000021U1V4</t>
        </is>
      </c>
      <c r="E29" s="48" t="inlineStr">
        <is>
          <t>Body (iç giyim)</t>
        </is>
      </c>
      <c r="F29" s="52" t="n">
        <v>3</v>
      </c>
      <c r="G29" s="55" t="n">
        <v>46092.14124795139</v>
      </c>
      <c r="H29" s="55" t="n">
        <v>46098.99930555555</v>
      </c>
      <c r="I29" s="58" t="inlineStr">
        <is>
          <t>1208 TL - 1169,01 TL</t>
        </is>
      </c>
      <c r="J29" s="60" t="inlineStr">
        <is>
          <t>9,9 %</t>
        </is>
      </c>
      <c r="K29" s="62" t="inlineStr">
        <is>
          <t>1208</t>
        </is>
      </c>
      <c r="L29" s="64" t="inlineStr">
        <is>
          <t>1169 TL - 1137,01 TL</t>
        </is>
      </c>
      <c r="M29" s="66" t="inlineStr">
        <is>
          <t>9,2 %</t>
        </is>
      </c>
      <c r="N29" s="68" t="inlineStr">
        <is>
          <t>1169</t>
        </is>
      </c>
      <c r="O29" s="70" t="inlineStr">
        <is>
          <t>1137 TL - ve altı</t>
        </is>
      </c>
      <c r="P29" s="72" t="inlineStr">
        <is>
          <t>7,8 %</t>
        </is>
      </c>
      <c r="Q29" s="74" t="inlineStr">
        <is>
          <t>1137</t>
        </is>
      </c>
      <c r="R29" s="48" t="n">
        <v>1299</v>
      </c>
      <c r="S29" s="76" t="inlineStr">
        <is>
          <t>18 %</t>
        </is>
      </c>
      <c r="T29" s="78">
        <f>IF(ISBLANK(U29),"18 %",IF(U29&lt;=1137,"7.8 %",IF(U29&lt;=1169,"9.2 %",IF(U29&lt;=1208,"9.9 %","18 %"))))</f>
        <v/>
      </c>
      <c r="U29" s="80" t="n">
        <v>1208</v>
      </c>
      <c r="V29" t="n">
        <v>376.41</v>
      </c>
      <c r="W29" t="n">
        <v>313.71</v>
      </c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</row>
    <row r="30" ht="15.75" customHeight="1">
      <c r="A30" s="37" t="n">
        <v>133528497</v>
      </c>
      <c r="B30" s="37" t="inlineStr">
        <is>
          <t>Dagi Termal Tek Alt E010910890Ek</t>
        </is>
      </c>
      <c r="C30" s="47" t="inlineStr">
        <is>
          <t>HBV000002OBQ6</t>
        </is>
      </c>
      <c r="D30" s="47" t="inlineStr">
        <is>
          <t>HBC000021U1V4</t>
        </is>
      </c>
      <c r="E30" s="48" t="inlineStr">
        <is>
          <t>Body (iç giyim)</t>
        </is>
      </c>
      <c r="F30" s="52" t="n">
        <v>5</v>
      </c>
      <c r="G30" s="55" t="n">
        <v>46092.11977841435</v>
      </c>
      <c r="H30" s="55" t="n">
        <v>46098.99930555555</v>
      </c>
      <c r="I30" s="58" t="inlineStr">
        <is>
          <t>612 TL - 599,01 TL</t>
        </is>
      </c>
      <c r="J30" s="60" t="inlineStr">
        <is>
          <t>9,9 %</t>
        </is>
      </c>
      <c r="K30" s="62" t="inlineStr">
        <is>
          <t>612</t>
        </is>
      </c>
      <c r="L30" s="64" t="inlineStr">
        <is>
          <t>599 TL - 579,01 TL</t>
        </is>
      </c>
      <c r="M30" s="66" t="inlineStr">
        <is>
          <t>9,2 %</t>
        </is>
      </c>
      <c r="N30" s="68" t="inlineStr">
        <is>
          <t>599</t>
        </is>
      </c>
      <c r="O30" s="70" t="inlineStr">
        <is>
          <t>579 TL - ve altı</t>
        </is>
      </c>
      <c r="P30" s="72" t="inlineStr">
        <is>
          <t>7,8 %</t>
        </is>
      </c>
      <c r="Q30" s="74" t="inlineStr">
        <is>
          <t>579</t>
        </is>
      </c>
      <c r="R30" s="48" t="n">
        <v>1299</v>
      </c>
      <c r="S30" s="76" t="inlineStr">
        <is>
          <t>18 %</t>
        </is>
      </c>
      <c r="T30" s="78">
        <f>IF(ISBLANK(U30),"18 %",IF(U30&lt;=579,"7.8 %",IF(U30&lt;=599,"9.2 %",IF(U30&lt;=612,"9.9 %","18 %"))))</f>
        <v/>
      </c>
      <c r="U30" s="81" t="n">
        <v>1299</v>
      </c>
      <c r="V30" t="n">
        <v>-160.59</v>
      </c>
      <c r="W30" t="n">
        <v>-223.29</v>
      </c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</row>
    <row r="31" ht="15.75" customHeight="1">
      <c r="A31" s="37" t="n">
        <v>133812882</v>
      </c>
      <c r="B31" s="37" t="inlineStr">
        <is>
          <t>Dagi Ekru Termal Erkek Atlet</t>
        </is>
      </c>
      <c r="C31" s="47" t="inlineStr">
        <is>
          <t>HBCV0000090IO9</t>
        </is>
      </c>
      <c r="D31" s="47" t="inlineStr">
        <is>
          <t>HBC000021U22K</t>
        </is>
      </c>
      <c r="E31" s="48" t="inlineStr">
        <is>
          <t>Atlet</t>
        </is>
      </c>
      <c r="F31" s="52" t="n">
        <v>20</v>
      </c>
      <c r="G31" s="55" t="n">
        <v>46092.19817915509</v>
      </c>
      <c r="H31" s="55" t="n">
        <v>46098.99930555555</v>
      </c>
      <c r="I31" s="58" t="inlineStr">
        <is>
          <t>759 TL - 743,01 TL</t>
        </is>
      </c>
      <c r="J31" s="60" t="inlineStr">
        <is>
          <t>10,6 %</t>
        </is>
      </c>
      <c r="K31" s="62" t="inlineStr">
        <is>
          <t>759</t>
        </is>
      </c>
      <c r="L31" s="64" t="inlineStr">
        <is>
          <t>743 TL - 703,01 TL</t>
        </is>
      </c>
      <c r="M31" s="66" t="inlineStr">
        <is>
          <t>9,9 %</t>
        </is>
      </c>
      <c r="N31" s="68" t="inlineStr">
        <is>
          <t>743</t>
        </is>
      </c>
      <c r="O31" s="70" t="inlineStr">
        <is>
          <t>703 TL - ve altı</t>
        </is>
      </c>
      <c r="P31" s="72" t="inlineStr">
        <is>
          <t>8,5 %</t>
        </is>
      </c>
      <c r="Q31" s="74" t="inlineStr">
        <is>
          <t>703</t>
        </is>
      </c>
      <c r="R31" s="48" t="n">
        <v>799</v>
      </c>
      <c r="S31" s="76" t="inlineStr">
        <is>
          <t>18 %</t>
        </is>
      </c>
      <c r="T31" s="78">
        <f>IF(ISBLANK(U31),"18 %",IF(U31&lt;=703,"8.5 %",IF(U31&lt;=743,"9.9 %",IF(U31&lt;=759,"10.6 %","18 %"))))</f>
        <v/>
      </c>
      <c r="U31" s="80" t="n">
        <v>759</v>
      </c>
      <c r="V31" t="n">
        <v>167.55</v>
      </c>
      <c r="W31" t="n">
        <v>124.95</v>
      </c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</row>
    <row r="32" ht="15.75" customHeight="1">
      <c r="A32" s="37" t="n">
        <v>133740276</v>
      </c>
      <c r="B32" s="37" t="inlineStr">
        <is>
          <t>Dagi Ekru Termal Erkek Atlet</t>
        </is>
      </c>
      <c r="C32" s="47" t="inlineStr">
        <is>
          <t>HBCV0000090IOB</t>
        </is>
      </c>
      <c r="D32" s="47" t="inlineStr">
        <is>
          <t>HBC000021U22K</t>
        </is>
      </c>
      <c r="E32" s="48" t="inlineStr">
        <is>
          <t>Atlet</t>
        </is>
      </c>
      <c r="F32" s="52" t="n">
        <v>20</v>
      </c>
      <c r="G32" s="55" t="n">
        <v>46092.17957478009</v>
      </c>
      <c r="H32" s="55" t="n">
        <v>46098.99930555555</v>
      </c>
      <c r="I32" s="58" t="inlineStr">
        <is>
          <t>759 TL - 743,01 TL</t>
        </is>
      </c>
      <c r="J32" s="60" t="inlineStr">
        <is>
          <t>10,6 %</t>
        </is>
      </c>
      <c r="K32" s="62" t="inlineStr">
        <is>
          <t>759</t>
        </is>
      </c>
      <c r="L32" s="64" t="inlineStr">
        <is>
          <t>743 TL - 703,01 TL</t>
        </is>
      </c>
      <c r="M32" s="66" t="inlineStr">
        <is>
          <t>9,9 %</t>
        </is>
      </c>
      <c r="N32" s="68" t="inlineStr">
        <is>
          <t>743</t>
        </is>
      </c>
      <c r="O32" s="70" t="inlineStr">
        <is>
          <t>703 TL - ve altı</t>
        </is>
      </c>
      <c r="P32" s="72" t="inlineStr">
        <is>
          <t>8,5 %</t>
        </is>
      </c>
      <c r="Q32" s="74" t="inlineStr">
        <is>
          <t>703</t>
        </is>
      </c>
      <c r="R32" s="48" t="n">
        <v>799</v>
      </c>
      <c r="S32" s="76" t="inlineStr">
        <is>
          <t>18 %</t>
        </is>
      </c>
      <c r="T32" s="78">
        <f>IF(ISBLANK(U32),"18 %",IF(U32&lt;=703,"8.5 %",IF(U32&lt;=743,"9.9 %",IF(U32&lt;=759,"10.6 %","18 %"))))</f>
        <v/>
      </c>
      <c r="U32" s="80" t="n">
        <v>759</v>
      </c>
      <c r="V32" t="n">
        <v>167.55</v>
      </c>
      <c r="W32" t="n">
        <v>124.95</v>
      </c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</row>
    <row r="33" ht="15.75" customHeight="1">
      <c r="A33" s="37" t="n">
        <v>133413597</v>
      </c>
      <c r="B33" s="37" t="inlineStr">
        <is>
          <t>Dagi Siyah Termal Erkek Atlet</t>
        </is>
      </c>
      <c r="C33" s="47" t="inlineStr">
        <is>
          <t>HBCV0000090IOD</t>
        </is>
      </c>
      <c r="D33" s="47" t="inlineStr">
        <is>
          <t>HBC000021U233</t>
        </is>
      </c>
      <c r="E33" s="48" t="inlineStr">
        <is>
          <t>Atlet</t>
        </is>
      </c>
      <c r="F33" s="52" t="n">
        <v>20</v>
      </c>
      <c r="G33" s="55" t="n">
        <v>46092.08881346065</v>
      </c>
      <c r="H33" s="55" t="n">
        <v>46098.99930555555</v>
      </c>
      <c r="I33" s="58" t="inlineStr">
        <is>
          <t>793 TL - 775,01 TL</t>
        </is>
      </c>
      <c r="J33" s="60" t="inlineStr">
        <is>
          <t>9,2 %</t>
        </is>
      </c>
      <c r="K33" s="62" t="inlineStr">
        <is>
          <t>793</t>
        </is>
      </c>
      <c r="L33" s="64" t="inlineStr">
        <is>
          <t>775 TL - 694,01 TL</t>
        </is>
      </c>
      <c r="M33" s="66" t="inlineStr">
        <is>
          <t>8,5 %</t>
        </is>
      </c>
      <c r="N33" s="68" t="inlineStr">
        <is>
          <t>775</t>
        </is>
      </c>
      <c r="O33" s="70" t="inlineStr">
        <is>
          <t>694 TL - ve altı</t>
        </is>
      </c>
      <c r="P33" s="72" t="inlineStr">
        <is>
          <t>7,1 %</t>
        </is>
      </c>
      <c r="Q33" s="74" t="inlineStr">
        <is>
          <t>694</t>
        </is>
      </c>
      <c r="R33" s="48" t="n">
        <v>899</v>
      </c>
      <c r="S33" s="76" t="inlineStr">
        <is>
          <t>18 %</t>
        </is>
      </c>
      <c r="T33" s="78">
        <f>IF(ISBLANK(U33),"18 %",IF(U33&lt;=694,"7.1 %",IF(U33&lt;=775,"8.5 %",IF(U33&lt;=793,"9.2 %","18 %"))))</f>
        <v/>
      </c>
      <c r="U33" s="80" t="n">
        <v>793</v>
      </c>
      <c r="V33" t="n">
        <v>209.04</v>
      </c>
      <c r="W33" t="n">
        <v>166.44</v>
      </c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</row>
    <row r="34" ht="15.75" customHeight="1">
      <c r="A34" s="37" t="n">
        <v>133528615</v>
      </c>
      <c r="B34" s="37" t="inlineStr">
        <is>
          <t>Dagi Erkek Termal T-Shirt Ekru E010911310</t>
        </is>
      </c>
      <c r="C34" s="47" t="inlineStr">
        <is>
          <t>HBV000007F6P6</t>
        </is>
      </c>
      <c r="D34" s="47" t="inlineStr">
        <is>
          <t>HBC000021U2X7</t>
        </is>
      </c>
      <c r="E34" s="48" t="inlineStr">
        <is>
          <t>Body (iç giyim)</t>
        </is>
      </c>
      <c r="F34" s="52" t="n">
        <v>5</v>
      </c>
      <c r="G34" s="55" t="n">
        <v>46092.11980961805</v>
      </c>
      <c r="H34" s="55" t="n">
        <v>46098.99930555555</v>
      </c>
      <c r="I34" s="58" t="inlineStr">
        <is>
          <t>612 TL - 599,01 TL</t>
        </is>
      </c>
      <c r="J34" s="60" t="inlineStr">
        <is>
          <t>9,9 %</t>
        </is>
      </c>
      <c r="K34" s="62" t="inlineStr">
        <is>
          <t>612</t>
        </is>
      </c>
      <c r="L34" s="64" t="inlineStr">
        <is>
          <t>599 TL - 579,01 TL</t>
        </is>
      </c>
      <c r="M34" s="66" t="inlineStr">
        <is>
          <t>9,2 %</t>
        </is>
      </c>
      <c r="N34" s="68" t="inlineStr">
        <is>
          <t>599</t>
        </is>
      </c>
      <c r="O34" s="70" t="inlineStr">
        <is>
          <t>579 TL - ve altı</t>
        </is>
      </c>
      <c r="P34" s="72" t="inlineStr">
        <is>
          <t>7,8 %</t>
        </is>
      </c>
      <c r="Q34" s="74" t="inlineStr">
        <is>
          <t>579</t>
        </is>
      </c>
      <c r="R34" s="48" t="n">
        <v>1299</v>
      </c>
      <c r="S34" s="76" t="inlineStr">
        <is>
          <t>18 %</t>
        </is>
      </c>
      <c r="T34" s="78">
        <f>IF(ISBLANK(U34),"18 %",IF(U34&lt;=579,"7.8 %",IF(U34&lt;=599,"9.2 %",IF(U34&lt;=612,"9.9 %","18 %"))))</f>
        <v/>
      </c>
      <c r="U34" s="81" t="n">
        <v>1299</v>
      </c>
      <c r="V34" t="n">
        <v>-156.59</v>
      </c>
      <c r="W34" t="n">
        <v>-218.89</v>
      </c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</row>
    <row r="35" ht="15.75" customHeight="1">
      <c r="A35" s="37" t="n">
        <v>133593736</v>
      </c>
      <c r="B35" s="37" t="inlineStr">
        <is>
          <t>Siyah V Yaka Uzun Kol Erkek Termal Içlik Tek Üst</t>
        </is>
      </c>
      <c r="C35" s="47" t="inlineStr">
        <is>
          <t>HBCV0000AAZFB1</t>
        </is>
      </c>
      <c r="D35" s="47" t="inlineStr">
        <is>
          <t>HBC000021U2XK</t>
        </is>
      </c>
      <c r="E35" s="48" t="inlineStr">
        <is>
          <t>Body (iç giyim)</t>
        </is>
      </c>
      <c r="F35" s="52" t="n">
        <v>4</v>
      </c>
      <c r="G35" s="55" t="n">
        <v>46092.14004292824</v>
      </c>
      <c r="H35" s="55" t="n">
        <v>46098.99930555555</v>
      </c>
      <c r="I35" s="58" t="inlineStr">
        <is>
          <t>1128 TL - 1104,01 TL</t>
        </is>
      </c>
      <c r="J35" s="60" t="inlineStr">
        <is>
          <t>9,9 %</t>
        </is>
      </c>
      <c r="K35" s="62" t="inlineStr">
        <is>
          <t>1128</t>
        </is>
      </c>
      <c r="L35" s="64" t="inlineStr">
        <is>
          <t>1104 TL - 1068,01 TL</t>
        </is>
      </c>
      <c r="M35" s="66" t="inlineStr">
        <is>
          <t>9,2 %</t>
        </is>
      </c>
      <c r="N35" s="68" t="inlineStr">
        <is>
          <t>1104</t>
        </is>
      </c>
      <c r="O35" s="70" t="inlineStr">
        <is>
          <t>1068 TL - ve altı</t>
        </is>
      </c>
      <c r="P35" s="72" t="inlineStr">
        <is>
          <t>7,8 %</t>
        </is>
      </c>
      <c r="Q35" s="74" t="inlineStr">
        <is>
          <t>1068</t>
        </is>
      </c>
      <c r="R35" s="48" t="n">
        <v>1199</v>
      </c>
      <c r="S35" s="76" t="inlineStr">
        <is>
          <t>18 %</t>
        </is>
      </c>
      <c r="T35" s="78">
        <f>IF(ISBLANK(U35),"18 %",IF(U35&lt;=1068,"7.8 %",IF(U35&lt;=1104,"9.2 %",IF(U35&lt;=1128,"9.9 %","18 %"))))</f>
        <v/>
      </c>
      <c r="U35" s="80" t="n">
        <v>1128</v>
      </c>
      <c r="V35" t="n">
        <v>308.33</v>
      </c>
      <c r="W35" t="n">
        <v>246.03</v>
      </c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</row>
    <row r="36" ht="15.75" customHeight="1">
      <c r="A36" s="37" t="n">
        <v>133587851</v>
      </c>
      <c r="B36" s="37" t="inlineStr">
        <is>
          <t>Siyah V Yaka Uzun Kol Erkek Termal Içlik Tek Üst</t>
        </is>
      </c>
      <c r="C36" s="47" t="inlineStr">
        <is>
          <t>HBCV0000AARJDM</t>
        </is>
      </c>
      <c r="D36" s="47" t="inlineStr">
        <is>
          <t>HBC000021U2XK</t>
        </is>
      </c>
      <c r="E36" s="48" t="inlineStr">
        <is>
          <t>Body (iç giyim)</t>
        </is>
      </c>
      <c r="F36" s="52" t="n">
        <v>4</v>
      </c>
      <c r="G36" s="55" t="n">
        <v>46092.13850222222</v>
      </c>
      <c r="H36" s="55" t="n">
        <v>46098.99930555555</v>
      </c>
      <c r="I36" s="58" t="inlineStr">
        <is>
          <t>1093 TL - 1069,01 TL</t>
        </is>
      </c>
      <c r="J36" s="60" t="inlineStr">
        <is>
          <t>9,9 %</t>
        </is>
      </c>
      <c r="K36" s="62" t="inlineStr">
        <is>
          <t>1093</t>
        </is>
      </c>
      <c r="L36" s="64" t="inlineStr">
        <is>
          <t>1069 TL - 1044,01 TL</t>
        </is>
      </c>
      <c r="M36" s="66" t="inlineStr">
        <is>
          <t>9,2 %</t>
        </is>
      </c>
      <c r="N36" s="68" t="inlineStr">
        <is>
          <t>1069</t>
        </is>
      </c>
      <c r="O36" s="70" t="inlineStr">
        <is>
          <t>1044 TL - ve altı</t>
        </is>
      </c>
      <c r="P36" s="72" t="inlineStr">
        <is>
          <t>7,8 %</t>
        </is>
      </c>
      <c r="Q36" s="74" t="inlineStr">
        <is>
          <t>1044</t>
        </is>
      </c>
      <c r="R36" s="48" t="n">
        <v>1149</v>
      </c>
      <c r="S36" s="76" t="inlineStr">
        <is>
          <t>18 %</t>
        </is>
      </c>
      <c r="T36" s="78">
        <f>IF(ISBLANK(U36),"18 %",IF(U36&lt;=1044,"7.8 %",IF(U36&lt;=1069,"9.2 %",IF(U36&lt;=1093,"9.9 %","18 %"))))</f>
        <v/>
      </c>
      <c r="U36" s="80" t="n">
        <v>1093</v>
      </c>
      <c r="V36" t="n">
        <v>276.79</v>
      </c>
      <c r="W36" t="n">
        <v>214.49</v>
      </c>
      <c r="X36" s="27" t="n"/>
      <c r="Y36" s="27" t="n"/>
      <c r="Z36" s="27" t="n"/>
      <c r="AA36" s="27" t="n"/>
      <c r="AB36" s="27" t="n"/>
      <c r="AC36" s="27" t="n"/>
      <c r="AD36" s="27" t="n"/>
      <c r="AE36" s="27" t="n"/>
      <c r="AF36" s="27" t="n"/>
      <c r="AG36" s="27" t="n"/>
      <c r="AH36" s="27" t="n"/>
    </row>
    <row r="37" ht="15.75" customHeight="1">
      <c r="A37" s="37" t="n">
        <v>133587315</v>
      </c>
      <c r="B37" s="37" t="inlineStr">
        <is>
          <t>Siyah V Yaka Uzun Kol Erkek Termal İçlik Tek Üst</t>
        </is>
      </c>
      <c r="C37" s="47" t="inlineStr">
        <is>
          <t>HBV000007F6PG</t>
        </is>
      </c>
      <c r="D37" s="47" t="inlineStr">
        <is>
          <t>HBC000021U2XK</t>
        </is>
      </c>
      <c r="E37" s="48" t="inlineStr">
        <is>
          <t>Body (iç giyim)</t>
        </is>
      </c>
      <c r="F37" s="52" t="n">
        <v>4</v>
      </c>
      <c r="G37" s="55" t="n">
        <v>46092.13836084491</v>
      </c>
      <c r="H37" s="55" t="n">
        <v>46098.99930555555</v>
      </c>
      <c r="I37" s="58" t="inlineStr">
        <is>
          <t>1069 TL - 1034,01 TL</t>
        </is>
      </c>
      <c r="J37" s="60" t="inlineStr">
        <is>
          <t>9,9 %</t>
        </is>
      </c>
      <c r="K37" s="62" t="inlineStr">
        <is>
          <t>1069</t>
        </is>
      </c>
      <c r="L37" s="64" t="inlineStr">
        <is>
          <t>1034 TL - 1006,01 TL</t>
        </is>
      </c>
      <c r="M37" s="66" t="inlineStr">
        <is>
          <t>9,2 %</t>
        </is>
      </c>
      <c r="N37" s="68" t="inlineStr">
        <is>
          <t>1034</t>
        </is>
      </c>
      <c r="O37" s="70" t="inlineStr">
        <is>
          <t>1006 TL - ve altı</t>
        </is>
      </c>
      <c r="P37" s="72" t="inlineStr">
        <is>
          <t>7,8 %</t>
        </is>
      </c>
      <c r="Q37" s="74" t="inlineStr">
        <is>
          <t>1006</t>
        </is>
      </c>
      <c r="R37" s="48" t="n">
        <v>1149</v>
      </c>
      <c r="S37" s="76" t="inlineStr">
        <is>
          <t>18 %</t>
        </is>
      </c>
      <c r="T37" s="78">
        <f>IF(ISBLANK(U37),"18 %",IF(U37&lt;=1006,"7.8 %",IF(U37&lt;=1034,"9.2 %",IF(U37&lt;=1069,"9.9 %","18 %"))))</f>
        <v/>
      </c>
      <c r="U37" s="80" t="n">
        <v>1069</v>
      </c>
      <c r="V37" t="n">
        <v>255.17</v>
      </c>
      <c r="W37" t="n">
        <v>192.87</v>
      </c>
      <c r="X37" s="27" t="n"/>
      <c r="Y37" s="27" t="n"/>
      <c r="Z37" s="27" t="n"/>
      <c r="AA37" s="27" t="n"/>
      <c r="AB37" s="27" t="n"/>
      <c r="AC37" s="27" t="n"/>
      <c r="AD37" s="27" t="n"/>
      <c r="AE37" s="27" t="n"/>
      <c r="AF37" s="27" t="n"/>
      <c r="AG37" s="27" t="n"/>
      <c r="AH37" s="27" t="n"/>
    </row>
    <row r="38" ht="15.75" customHeight="1">
      <c r="A38" s="37" t="n">
        <v>133554872</v>
      </c>
      <c r="B38" s="37" t="inlineStr">
        <is>
          <t>Erdem Erkek Çocuk 3150 0 Yaka Kollu Fanila 3 Adet</t>
        </is>
      </c>
      <c r="C38" s="47" t="inlineStr">
        <is>
          <t>HBCV00009WBG93</t>
        </is>
      </c>
      <c r="D38" s="47" t="inlineStr">
        <is>
          <t>HBC00009WBEM2</t>
        </is>
      </c>
      <c r="E38" s="48" t="inlineStr">
        <is>
          <t>Atlet</t>
        </is>
      </c>
      <c r="F38" s="52" t="n">
        <v>30</v>
      </c>
      <c r="G38" s="55" t="n">
        <v>46092.12797070602</v>
      </c>
      <c r="H38" s="55" t="n">
        <v>46098.99930555555</v>
      </c>
      <c r="I38" s="58" t="inlineStr">
        <is>
          <t>788 TL - 771,01 TL</t>
        </is>
      </c>
      <c r="J38" s="60" t="inlineStr">
        <is>
          <t>9,9 %</t>
        </is>
      </c>
      <c r="K38" s="62" t="inlineStr">
        <is>
          <t>788</t>
        </is>
      </c>
      <c r="L38" s="64" t="inlineStr">
        <is>
          <t>771 TL - 738,01 TL</t>
        </is>
      </c>
      <c r="M38" s="66" t="inlineStr">
        <is>
          <t>9,2 %</t>
        </is>
      </c>
      <c r="N38" s="68" t="inlineStr">
        <is>
          <t>771</t>
        </is>
      </c>
      <c r="O38" s="70" t="inlineStr">
        <is>
          <t>738 TL - ve altı</t>
        </is>
      </c>
      <c r="P38" s="72" t="inlineStr">
        <is>
          <t>7,8 %</t>
        </is>
      </c>
      <c r="Q38" s="74" t="inlineStr">
        <is>
          <t>738</t>
        </is>
      </c>
      <c r="R38" s="48" t="n">
        <v>829</v>
      </c>
      <c r="S38" s="76" t="inlineStr">
        <is>
          <t>18 %</t>
        </is>
      </c>
      <c r="T38" s="78">
        <f>IF(ISBLANK(U38),"18 %",IF(U38&lt;=738,"7.8 %",IF(U38&lt;=771,"9.2 %",IF(U38&lt;=788,"9.9 %","18 %"))))</f>
        <v/>
      </c>
      <c r="U38" s="80" t="n">
        <v>788</v>
      </c>
      <c r="V38" t="n">
        <v>260.49</v>
      </c>
      <c r="W38" t="n">
        <v>224.04</v>
      </c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</row>
    <row r="39" ht="15.75" customHeight="1">
      <c r="A39" s="37" t="n">
        <v>133498664</v>
      </c>
      <c r="B39" s="37" t="inlineStr">
        <is>
          <t>Erdem Erkek Çocuk 3050 Pamuk Atlet 3 Adet %100 Pamuk Materyal ile Rahat ve Nefes Alabilir</t>
        </is>
      </c>
      <c r="C39" s="47" t="inlineStr">
        <is>
          <t>HBCV00009WBG90</t>
        </is>
      </c>
      <c r="D39" s="47" t="inlineStr">
        <is>
          <t>HBC00009WBF3T</t>
        </is>
      </c>
      <c r="E39" s="48" t="inlineStr">
        <is>
          <t>Atlet</t>
        </is>
      </c>
      <c r="F39" s="52" t="n">
        <v>30</v>
      </c>
      <c r="G39" s="55" t="n">
        <v>46092.11204295139</v>
      </c>
      <c r="H39" s="55" t="n">
        <v>46098.99930555555</v>
      </c>
      <c r="I39" s="58" t="inlineStr">
        <is>
          <t>759 TL - 743,01 TL</t>
        </is>
      </c>
      <c r="J39" s="60" t="inlineStr">
        <is>
          <t>9,8 %</t>
        </is>
      </c>
      <c r="K39" s="62" t="inlineStr">
        <is>
          <t>759</t>
        </is>
      </c>
      <c r="L39" s="64" t="inlineStr">
        <is>
          <t>743 TL - 711,01 TL</t>
        </is>
      </c>
      <c r="M39" s="66" t="inlineStr">
        <is>
          <t>8,9 %</t>
        </is>
      </c>
      <c r="N39" s="68" t="inlineStr">
        <is>
          <t>743</t>
        </is>
      </c>
      <c r="O39" s="70" t="inlineStr">
        <is>
          <t>711 TL - ve altı</t>
        </is>
      </c>
      <c r="P39" s="72" t="inlineStr">
        <is>
          <t>7,8 %</t>
        </is>
      </c>
      <c r="Q39" s="74" t="inlineStr">
        <is>
          <t>711</t>
        </is>
      </c>
      <c r="R39" s="48" t="n">
        <v>799</v>
      </c>
      <c r="S39" s="76" t="inlineStr">
        <is>
          <t>18 %</t>
        </is>
      </c>
      <c r="T39" s="78">
        <f>IF(ISBLANK(U39),"18 %",IF(U39&lt;=711,"7.8 %",IF(U39&lt;=743,"8.9 %",IF(U39&lt;=759,"9.8 %","18 %"))))</f>
        <v/>
      </c>
      <c r="U39" s="80" t="n">
        <v>759</v>
      </c>
      <c r="V39" t="n">
        <v>248.62</v>
      </c>
      <c r="W39" t="n">
        <v>213.52</v>
      </c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</row>
    <row r="40" ht="15.75" customHeight="1">
      <c r="A40" s="37" t="n">
        <v>133526850</v>
      </c>
      <c r="B40" s="37" t="inlineStr">
        <is>
          <t>Dagi Kadın Pamuklu Yüksek Bel Boxer 5112KC</t>
        </is>
      </c>
      <c r="C40" s="47" t="inlineStr">
        <is>
          <t>HBCV0000APRJ6B</t>
        </is>
      </c>
      <c r="D40" s="47" t="inlineStr">
        <is>
          <t>HBC0000APRJ6A</t>
        </is>
      </c>
      <c r="E40" s="48" t="inlineStr">
        <is>
          <t>Boxer</t>
        </is>
      </c>
      <c r="F40" s="52" t="n">
        <v>28</v>
      </c>
      <c r="G40" s="55" t="n">
        <v>46092.11935892361</v>
      </c>
      <c r="H40" s="55" t="n">
        <v>46098.99930555555</v>
      </c>
      <c r="I40" s="58" t="inlineStr">
        <is>
          <t>588 TL - 576,01 TL</t>
        </is>
      </c>
      <c r="J40" s="60" t="inlineStr">
        <is>
          <t>9,9 %</t>
        </is>
      </c>
      <c r="K40" s="62" t="inlineStr">
        <is>
          <t>588</t>
        </is>
      </c>
      <c r="L40" s="64" t="inlineStr">
        <is>
          <t>576 TL - 551,01 TL</t>
        </is>
      </c>
      <c r="M40" s="66" t="inlineStr">
        <is>
          <t>9,2 %</t>
        </is>
      </c>
      <c r="N40" s="68" t="inlineStr">
        <is>
          <t>576</t>
        </is>
      </c>
      <c r="O40" s="70" t="inlineStr">
        <is>
          <t>551 TL - ve altı</t>
        </is>
      </c>
      <c r="P40" s="72" t="inlineStr">
        <is>
          <t>7,8 %</t>
        </is>
      </c>
      <c r="Q40" s="74" t="inlineStr">
        <is>
          <t>551</t>
        </is>
      </c>
      <c r="R40" s="48" t="n">
        <v>614</v>
      </c>
      <c r="S40" s="76" t="inlineStr">
        <is>
          <t>18 %</t>
        </is>
      </c>
      <c r="T40" s="78">
        <f>IF(ISBLANK(U40),"18 %",IF(U40&lt;=551,"7.8 %",IF(U40&lt;=576,"9.2 %",IF(U40&lt;=588,"9.9 %","18 %"))))</f>
        <v/>
      </c>
      <c r="U40" s="80" t="n">
        <v>588</v>
      </c>
      <c r="V40" t="n">
        <v>239.79</v>
      </c>
      <c r="W40" t="n">
        <v>219.29</v>
      </c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</row>
    <row r="41" ht="15.75" customHeight="1">
      <c r="A41" s="37" t="n">
        <v>133526776</v>
      </c>
      <c r="B41" s="37" t="inlineStr">
        <is>
          <t>Dagi Kadın Pamuklu Yüksek Bel Boxer 5112KC</t>
        </is>
      </c>
      <c r="C41" s="47" t="inlineStr">
        <is>
          <t>HBCV0000AQTSCD</t>
        </is>
      </c>
      <c r="D41" s="47" t="inlineStr">
        <is>
          <t>HBC0000APRJ6A</t>
        </is>
      </c>
      <c r="E41" s="48" t="inlineStr">
        <is>
          <t>Boxer</t>
        </is>
      </c>
      <c r="F41" s="52" t="n">
        <v>28</v>
      </c>
      <c r="G41" s="55" t="n">
        <v>46092.1193403125</v>
      </c>
      <c r="H41" s="55" t="n">
        <v>46098.99930555555</v>
      </c>
      <c r="I41" s="58" t="inlineStr">
        <is>
          <t>588 TL - 576,01 TL</t>
        </is>
      </c>
      <c r="J41" s="60" t="inlineStr">
        <is>
          <t>9,9 %</t>
        </is>
      </c>
      <c r="K41" s="62" t="inlineStr">
        <is>
          <t>588</t>
        </is>
      </c>
      <c r="L41" s="64" t="inlineStr">
        <is>
          <t>576 TL - 551,01 TL</t>
        </is>
      </c>
      <c r="M41" s="66" t="inlineStr">
        <is>
          <t>9,2 %</t>
        </is>
      </c>
      <c r="N41" s="68" t="inlineStr">
        <is>
          <t>576</t>
        </is>
      </c>
      <c r="O41" s="70" t="inlineStr">
        <is>
          <t>551 TL - ve altı</t>
        </is>
      </c>
      <c r="P41" s="72" t="inlineStr">
        <is>
          <t>7,8 %</t>
        </is>
      </c>
      <c r="Q41" s="74" t="inlineStr">
        <is>
          <t>551</t>
        </is>
      </c>
      <c r="R41" s="48" t="n">
        <v>614</v>
      </c>
      <c r="S41" s="76" t="inlineStr">
        <is>
          <t>18 %</t>
        </is>
      </c>
      <c r="T41" s="78">
        <f>IF(ISBLANK(U41),"18 %",IF(U41&lt;=551,"7.8 %",IF(U41&lt;=576,"9.2 %",IF(U41&lt;=588,"9.9 %","18 %"))))</f>
        <v/>
      </c>
      <c r="U41" s="80" t="n">
        <v>588</v>
      </c>
      <c r="V41" t="n">
        <v>239.79</v>
      </c>
      <c r="W41" t="n">
        <v>219.29</v>
      </c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</row>
    <row r="42" ht="15.75" customHeight="1">
      <c r="A42" s="37" t="n">
        <v>133570015</v>
      </c>
      <c r="B42" s="37" t="inlineStr">
        <is>
          <t>Dagi V Yaka Kısa Kol Erkek Termal Içlik</t>
        </is>
      </c>
      <c r="C42" s="47" t="inlineStr">
        <is>
          <t>HBCV0000CG48B5</t>
        </is>
      </c>
      <c r="D42" s="47" t="inlineStr">
        <is>
          <t>HBC0000CG46YJ</t>
        </is>
      </c>
      <c r="E42" s="48" t="inlineStr">
        <is>
          <t>Body (iç giyim)</t>
        </is>
      </c>
      <c r="F42" s="52" t="n">
        <v>20</v>
      </c>
      <c r="G42" s="55" t="n">
        <v>46092.1334253588</v>
      </c>
      <c r="H42" s="55" t="n">
        <v>46098.99930555555</v>
      </c>
      <c r="I42" s="58" t="inlineStr">
        <is>
          <t>910 TL - 891,01 TL</t>
        </is>
      </c>
      <c r="J42" s="60" t="inlineStr">
        <is>
          <t>9,9 %</t>
        </is>
      </c>
      <c r="K42" s="62" t="inlineStr">
        <is>
          <t>910</t>
        </is>
      </c>
      <c r="L42" s="64" t="inlineStr">
        <is>
          <t>891 TL - 870,01 TL</t>
        </is>
      </c>
      <c r="M42" s="66" t="inlineStr">
        <is>
          <t>9,2 %</t>
        </is>
      </c>
      <c r="N42" s="68" t="inlineStr">
        <is>
          <t>891</t>
        </is>
      </c>
      <c r="O42" s="70" t="inlineStr">
        <is>
          <t>870 TL - ve altı</t>
        </is>
      </c>
      <c r="P42" s="72" t="inlineStr">
        <is>
          <t>7,8 %</t>
        </is>
      </c>
      <c r="Q42" s="74" t="inlineStr">
        <is>
          <t>870</t>
        </is>
      </c>
      <c r="R42" s="48" t="n">
        <v>999</v>
      </c>
      <c r="S42" s="76" t="inlineStr">
        <is>
          <t>18 %</t>
        </is>
      </c>
      <c r="T42" s="78">
        <f>IF(ISBLANK(U42),"18 %",IF(U42&lt;=870,"7.8 %",IF(U42&lt;=891,"9.2 %",IF(U42&lt;=910,"9.9 %","18 %"))))</f>
        <v/>
      </c>
      <c r="U42" s="80" t="n">
        <v>910</v>
      </c>
      <c r="V42" t="n">
        <v>251.91</v>
      </c>
      <c r="W42" t="n">
        <v>203.61</v>
      </c>
      <c r="X42" s="27" t="n"/>
      <c r="Y42" s="27" t="n"/>
      <c r="Z42" s="27" t="n"/>
      <c r="AA42" s="27" t="n"/>
      <c r="AB42" s="27" t="n"/>
      <c r="AC42" s="27" t="n"/>
      <c r="AD42" s="27" t="n"/>
      <c r="AE42" s="27" t="n"/>
      <c r="AF42" s="27" t="n"/>
      <c r="AG42" s="27" t="n"/>
      <c r="AH42" s="27" t="n"/>
    </row>
    <row r="43" ht="15.75" customHeight="1">
      <c r="A43" s="37" t="n">
        <v>133569977</v>
      </c>
      <c r="B43" s="37" t="inlineStr">
        <is>
          <t>Dagi V Yaka Kısa Kol Erkek Termal Içlik</t>
        </is>
      </c>
      <c r="C43" s="47" t="inlineStr">
        <is>
          <t>HBCV0000CG4M9S</t>
        </is>
      </c>
      <c r="D43" s="47" t="inlineStr">
        <is>
          <t>HBC0000CG46YJ</t>
        </is>
      </c>
      <c r="E43" s="48" t="inlineStr">
        <is>
          <t>Body (iç giyim)</t>
        </is>
      </c>
      <c r="F43" s="52" t="n">
        <v>20</v>
      </c>
      <c r="G43" s="55" t="n">
        <v>46092.13341421296</v>
      </c>
      <c r="H43" s="55" t="n">
        <v>46098.99930555555</v>
      </c>
      <c r="I43" s="58" t="inlineStr">
        <is>
          <t>910 TL - 891,01 TL</t>
        </is>
      </c>
      <c r="J43" s="60" t="inlineStr">
        <is>
          <t>9,9 %</t>
        </is>
      </c>
      <c r="K43" s="62" t="inlineStr">
        <is>
          <t>910</t>
        </is>
      </c>
      <c r="L43" s="64" t="inlineStr">
        <is>
          <t>891 TL - 870,01 TL</t>
        </is>
      </c>
      <c r="M43" s="66" t="inlineStr">
        <is>
          <t>9,2 %</t>
        </is>
      </c>
      <c r="N43" s="68" t="inlineStr">
        <is>
          <t>891</t>
        </is>
      </c>
      <c r="O43" s="70" t="inlineStr">
        <is>
          <t>870 TL - ve altı</t>
        </is>
      </c>
      <c r="P43" s="72" t="inlineStr">
        <is>
          <t>7,8 %</t>
        </is>
      </c>
      <c r="Q43" s="74" t="inlineStr">
        <is>
          <t>870</t>
        </is>
      </c>
      <c r="R43" s="48" t="n">
        <v>999</v>
      </c>
      <c r="S43" s="76" t="inlineStr">
        <is>
          <t>18 %</t>
        </is>
      </c>
      <c r="T43" s="78">
        <f>IF(ISBLANK(U43),"18 %",IF(U43&lt;=870,"7.8 %",IF(U43&lt;=891,"9.2 %",IF(U43&lt;=910,"9.9 %","18 %"))))</f>
        <v/>
      </c>
      <c r="U43" s="80" t="n">
        <v>910</v>
      </c>
      <c r="V43" t="n">
        <v>251.91</v>
      </c>
      <c r="W43" t="n">
        <v>203.61</v>
      </c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</row>
    <row r="44" ht="15.75" customHeight="1">
      <c r="E44" s="27" t="n"/>
      <c r="F44" s="34" t="n"/>
      <c r="G44" s="27" t="n"/>
      <c r="H44" s="27" t="n"/>
      <c r="I44" s="35" t="n"/>
      <c r="J44" s="36" t="n"/>
      <c r="K44" s="36" t="n"/>
      <c r="L44" s="30" t="n"/>
      <c r="M44" s="31" t="n"/>
      <c r="N44" s="31" t="n"/>
      <c r="O44" s="32" t="n"/>
      <c r="P44" s="33" t="n"/>
      <c r="Q44" s="33" t="n"/>
      <c r="R44" s="27" t="n"/>
      <c r="S44" s="34" t="n"/>
      <c r="T44" s="27" t="n"/>
      <c r="U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</row>
    <row r="45" ht="15.75" customHeight="1">
      <c r="E45" s="27" t="n"/>
      <c r="F45" s="34" t="n"/>
      <c r="G45" s="27" t="n"/>
      <c r="H45" s="27" t="n"/>
      <c r="I45" s="35" t="n"/>
      <c r="J45" s="36" t="n"/>
      <c r="K45" s="36" t="n"/>
      <c r="L45" s="30" t="n"/>
      <c r="M45" s="31" t="n"/>
      <c r="N45" s="31" t="n"/>
      <c r="O45" s="32" t="n"/>
      <c r="P45" s="33" t="n"/>
      <c r="Q45" s="33" t="n"/>
      <c r="R45" s="27" t="n"/>
      <c r="S45" s="34" t="n"/>
      <c r="T45" s="27" t="n"/>
      <c r="U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</row>
    <row r="46" ht="15.75" customHeight="1">
      <c r="E46" s="27" t="n"/>
      <c r="F46" s="34" t="n"/>
      <c r="G46" s="27" t="n"/>
      <c r="H46" s="27" t="n"/>
      <c r="I46" s="35" t="n"/>
      <c r="J46" s="36" t="n"/>
      <c r="K46" s="36" t="n"/>
      <c r="L46" s="30" t="n"/>
      <c r="M46" s="31" t="n"/>
      <c r="N46" s="31" t="n"/>
      <c r="O46" s="32" t="n"/>
      <c r="P46" s="33" t="n"/>
      <c r="Q46" s="33" t="n"/>
      <c r="R46" s="27" t="n"/>
      <c r="S46" s="34" t="n"/>
      <c r="T46" s="27" t="n"/>
      <c r="U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</row>
    <row r="47" ht="15.75" customHeight="1">
      <c r="E47" s="27" t="n"/>
      <c r="F47" s="34" t="n"/>
      <c r="G47" s="27" t="n"/>
      <c r="H47" s="27" t="n"/>
      <c r="I47" s="35" t="n"/>
      <c r="J47" s="36" t="n"/>
      <c r="K47" s="36" t="n"/>
      <c r="L47" s="30" t="n"/>
      <c r="M47" s="31" t="n"/>
      <c r="N47" s="31" t="n"/>
      <c r="O47" s="32" t="n"/>
      <c r="P47" s="33" t="n"/>
      <c r="Q47" s="33" t="n"/>
      <c r="R47" s="27" t="n"/>
      <c r="S47" s="34" t="n"/>
      <c r="T47" s="27" t="n"/>
      <c r="U47" s="27" t="n"/>
      <c r="X47" s="27" t="n"/>
      <c r="Y47" s="27" t="n"/>
      <c r="Z47" s="27" t="n"/>
      <c r="AA47" s="27" t="n"/>
      <c r="AB47" s="27" t="n"/>
      <c r="AC47" s="27" t="n"/>
      <c r="AD47" s="27" t="n"/>
      <c r="AE47" s="27" t="n"/>
      <c r="AF47" s="27" t="n"/>
      <c r="AG47" s="27" t="n"/>
      <c r="AH47" s="27" t="n"/>
    </row>
    <row r="48" ht="15.75" customHeight="1">
      <c r="E48" s="27" t="n"/>
      <c r="F48" s="34" t="n"/>
      <c r="G48" s="27" t="n"/>
      <c r="H48" s="27" t="n"/>
      <c r="I48" s="35" t="n"/>
      <c r="J48" s="36" t="n"/>
      <c r="K48" s="36" t="n"/>
      <c r="L48" s="30" t="n"/>
      <c r="M48" s="31" t="n"/>
      <c r="N48" s="31" t="n"/>
      <c r="O48" s="32" t="n"/>
      <c r="P48" s="33" t="n"/>
      <c r="Q48" s="33" t="n"/>
      <c r="R48" s="27" t="n"/>
      <c r="S48" s="34" t="n"/>
      <c r="T48" s="27" t="n"/>
      <c r="U48" s="27" t="n"/>
      <c r="X48" s="27" t="n"/>
      <c r="Y48" s="27" t="n"/>
      <c r="Z48" s="27" t="n"/>
      <c r="AA48" s="27" t="n"/>
      <c r="AB48" s="27" t="n"/>
      <c r="AC48" s="27" t="n"/>
      <c r="AD48" s="27" t="n"/>
      <c r="AE48" s="27" t="n"/>
      <c r="AF48" s="27" t="n"/>
      <c r="AG48" s="27" t="n"/>
      <c r="AH48" s="27" t="n"/>
    </row>
    <row r="49" ht="15.75" customHeight="1">
      <c r="E49" s="27" t="n"/>
      <c r="F49" s="34" t="n"/>
      <c r="G49" s="27" t="n"/>
      <c r="H49" s="27" t="n"/>
      <c r="I49" s="35" t="n"/>
      <c r="J49" s="36" t="n"/>
      <c r="K49" s="36" t="n"/>
      <c r="L49" s="30" t="n"/>
      <c r="M49" s="31" t="n"/>
      <c r="N49" s="31" t="n"/>
      <c r="O49" s="32" t="n"/>
      <c r="P49" s="33" t="n"/>
      <c r="Q49" s="33" t="n"/>
      <c r="R49" s="27" t="n"/>
      <c r="S49" s="34" t="n"/>
      <c r="T49" s="27" t="n"/>
      <c r="U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</row>
    <row r="50" ht="15.75" customHeight="1">
      <c r="E50" s="27" t="n"/>
      <c r="F50" s="34" t="n"/>
      <c r="G50" s="27" t="n"/>
      <c r="H50" s="27" t="n"/>
      <c r="I50" s="35" t="n"/>
      <c r="J50" s="36" t="n"/>
      <c r="K50" s="36" t="n"/>
      <c r="L50" s="30" t="n"/>
      <c r="M50" s="31" t="n"/>
      <c r="N50" s="31" t="n"/>
      <c r="O50" s="32" t="n"/>
      <c r="P50" s="33" t="n"/>
      <c r="Q50" s="33" t="n"/>
      <c r="R50" s="27" t="n"/>
      <c r="S50" s="34" t="n"/>
      <c r="T50" s="27" t="n"/>
      <c r="U50" s="27" t="n"/>
      <c r="X50" s="27" t="n"/>
      <c r="Y50" s="27" t="n"/>
      <c r="Z50" s="27" t="n"/>
      <c r="AA50" s="27" t="n"/>
      <c r="AB50" s="27" t="n"/>
      <c r="AC50" s="27" t="n"/>
      <c r="AD50" s="27" t="n"/>
      <c r="AE50" s="27" t="n"/>
      <c r="AF50" s="27" t="n"/>
      <c r="AG50" s="27" t="n"/>
      <c r="AH50" s="27" t="n"/>
    </row>
    <row r="51" ht="15.75" customHeight="1">
      <c r="E51" s="27" t="n"/>
      <c r="F51" s="34" t="n"/>
      <c r="G51" s="27" t="n"/>
      <c r="H51" s="27" t="n"/>
      <c r="I51" s="35" t="n"/>
      <c r="J51" s="36" t="n"/>
      <c r="K51" s="36" t="n"/>
      <c r="L51" s="30" t="n"/>
      <c r="M51" s="31" t="n"/>
      <c r="N51" s="31" t="n"/>
      <c r="O51" s="32" t="n"/>
      <c r="P51" s="33" t="n"/>
      <c r="Q51" s="33" t="n"/>
      <c r="R51" s="27" t="n"/>
      <c r="S51" s="34" t="n"/>
      <c r="T51" s="27" t="n"/>
      <c r="U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</row>
    <row r="52" ht="15.75" customHeight="1">
      <c r="E52" s="27" t="n"/>
      <c r="F52" s="34" t="n"/>
      <c r="G52" s="27" t="n"/>
      <c r="H52" s="27" t="n"/>
      <c r="I52" s="35" t="n"/>
      <c r="J52" s="36" t="n"/>
      <c r="K52" s="36" t="n"/>
      <c r="L52" s="30" t="n"/>
      <c r="M52" s="31" t="n"/>
      <c r="N52" s="31" t="n"/>
      <c r="O52" s="32" t="n"/>
      <c r="P52" s="33" t="n"/>
      <c r="Q52" s="33" t="n"/>
      <c r="R52" s="27" t="n"/>
      <c r="S52" s="34" t="n"/>
      <c r="T52" s="27" t="n"/>
      <c r="U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</row>
    <row r="53" ht="15.75" customHeight="1">
      <c r="E53" s="27" t="n"/>
      <c r="F53" s="34" t="n"/>
      <c r="G53" s="27" t="n"/>
      <c r="H53" s="27" t="n"/>
      <c r="I53" s="35" t="n"/>
      <c r="J53" s="36" t="n"/>
      <c r="K53" s="36" t="n"/>
      <c r="L53" s="30" t="n"/>
      <c r="M53" s="31" t="n"/>
      <c r="N53" s="31" t="n"/>
      <c r="O53" s="32" t="n"/>
      <c r="P53" s="33" t="n"/>
      <c r="Q53" s="33" t="n"/>
      <c r="R53" s="27" t="n"/>
      <c r="S53" s="34" t="n"/>
      <c r="T53" s="27" t="n"/>
      <c r="U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</row>
    <row r="54" ht="15.75" customHeight="1">
      <c r="E54" s="27" t="n"/>
      <c r="F54" s="34" t="n"/>
      <c r="G54" s="27" t="n"/>
      <c r="H54" s="27" t="n"/>
      <c r="I54" s="35" t="n"/>
      <c r="J54" s="36" t="n"/>
      <c r="K54" s="36" t="n"/>
      <c r="L54" s="30" t="n"/>
      <c r="M54" s="31" t="n"/>
      <c r="N54" s="31" t="n"/>
      <c r="O54" s="32" t="n"/>
      <c r="P54" s="33" t="n"/>
      <c r="Q54" s="33" t="n"/>
      <c r="R54" s="27" t="n"/>
      <c r="S54" s="34" t="n"/>
      <c r="T54" s="27" t="n"/>
      <c r="U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</row>
    <row r="55" ht="15.75" customHeight="1">
      <c r="E55" s="27" t="n"/>
      <c r="F55" s="34" t="n"/>
      <c r="G55" s="27" t="n"/>
      <c r="H55" s="27" t="n"/>
      <c r="I55" s="35" t="n"/>
      <c r="J55" s="36" t="n"/>
      <c r="K55" s="36" t="n"/>
      <c r="L55" s="30" t="n"/>
      <c r="M55" s="31" t="n"/>
      <c r="N55" s="31" t="n"/>
      <c r="O55" s="32" t="n"/>
      <c r="P55" s="33" t="n"/>
      <c r="Q55" s="33" t="n"/>
      <c r="R55" s="27" t="n"/>
      <c r="S55" s="34" t="n"/>
      <c r="T55" s="27" t="n"/>
      <c r="U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</row>
    <row r="56" ht="15.75" customHeight="1">
      <c r="E56" s="27" t="n"/>
      <c r="F56" s="34" t="n"/>
      <c r="G56" s="27" t="n"/>
      <c r="H56" s="27" t="n"/>
      <c r="I56" s="35" t="n"/>
      <c r="J56" s="36" t="n"/>
      <c r="K56" s="36" t="n"/>
      <c r="L56" s="30" t="n"/>
      <c r="M56" s="31" t="n"/>
      <c r="N56" s="31" t="n"/>
      <c r="O56" s="32" t="n"/>
      <c r="P56" s="33" t="n"/>
      <c r="Q56" s="33" t="n"/>
      <c r="R56" s="27" t="n"/>
      <c r="S56" s="34" t="n"/>
      <c r="T56" s="27" t="n"/>
      <c r="U56" s="27" t="n"/>
      <c r="X56" s="27" t="n"/>
      <c r="Y56" s="27" t="n"/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</row>
    <row r="57" ht="15.75" customHeight="1">
      <c r="E57" s="27" t="n"/>
      <c r="F57" s="34" t="n"/>
      <c r="G57" s="27" t="n"/>
      <c r="H57" s="27" t="n"/>
      <c r="I57" s="35" t="n"/>
      <c r="J57" s="36" t="n"/>
      <c r="K57" s="36" t="n"/>
      <c r="L57" s="30" t="n"/>
      <c r="M57" s="31" t="n"/>
      <c r="N57" s="31" t="n"/>
      <c r="O57" s="32" t="n"/>
      <c r="P57" s="33" t="n"/>
      <c r="Q57" s="33" t="n"/>
      <c r="R57" s="27" t="n"/>
      <c r="S57" s="34" t="n"/>
      <c r="T57" s="27" t="n"/>
      <c r="U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</row>
    <row r="58" ht="15.75" customHeight="1">
      <c r="E58" s="27" t="n"/>
      <c r="F58" s="34" t="n"/>
      <c r="G58" s="27" t="n"/>
      <c r="H58" s="27" t="n"/>
      <c r="I58" s="35" t="n"/>
      <c r="J58" s="36" t="n"/>
      <c r="K58" s="36" t="n"/>
      <c r="L58" s="30" t="n"/>
      <c r="M58" s="31" t="n"/>
      <c r="N58" s="31" t="n"/>
      <c r="O58" s="32" t="n"/>
      <c r="P58" s="33" t="n"/>
      <c r="Q58" s="33" t="n"/>
      <c r="R58" s="27" t="n"/>
      <c r="S58" s="34" t="n"/>
      <c r="T58" s="27" t="n"/>
      <c r="U58" s="27" t="n"/>
      <c r="X58" s="27" t="n"/>
      <c r="Y58" s="27" t="n"/>
      <c r="Z58" s="27" t="n"/>
      <c r="AA58" s="27" t="n"/>
      <c r="AB58" s="27" t="n"/>
      <c r="AC58" s="27" t="n"/>
      <c r="AD58" s="27" t="n"/>
      <c r="AE58" s="27" t="n"/>
      <c r="AF58" s="27" t="n"/>
      <c r="AG58" s="27" t="n"/>
      <c r="AH58" s="27" t="n"/>
    </row>
    <row r="59" ht="15.75" customHeight="1">
      <c r="E59" s="27" t="n"/>
      <c r="F59" s="34" t="n"/>
      <c r="G59" s="27" t="n"/>
      <c r="H59" s="27" t="n"/>
      <c r="I59" s="35" t="n"/>
      <c r="J59" s="36" t="n"/>
      <c r="K59" s="36" t="n"/>
      <c r="L59" s="30" t="n"/>
      <c r="M59" s="31" t="n"/>
      <c r="N59" s="31" t="n"/>
      <c r="O59" s="32" t="n"/>
      <c r="P59" s="33" t="n"/>
      <c r="Q59" s="33" t="n"/>
      <c r="R59" s="27" t="n"/>
      <c r="S59" s="34" t="n"/>
      <c r="T59" s="27" t="n"/>
      <c r="U59" s="27" t="n"/>
      <c r="X59" s="27" t="n"/>
      <c r="Y59" s="27" t="n"/>
      <c r="Z59" s="27" t="n"/>
      <c r="AA59" s="27" t="n"/>
      <c r="AB59" s="27" t="n"/>
      <c r="AC59" s="27" t="n"/>
      <c r="AD59" s="27" t="n"/>
      <c r="AE59" s="27" t="n"/>
      <c r="AF59" s="27" t="n"/>
      <c r="AG59" s="27" t="n"/>
      <c r="AH59" s="27" t="n"/>
    </row>
    <row r="60" ht="15.75" customHeight="1">
      <c r="E60" s="27" t="n"/>
      <c r="F60" s="34" t="n"/>
      <c r="G60" s="27" t="n"/>
      <c r="H60" s="27" t="n"/>
      <c r="I60" s="35" t="n"/>
      <c r="J60" s="36" t="n"/>
      <c r="K60" s="36" t="n"/>
      <c r="L60" s="30" t="n"/>
      <c r="M60" s="31" t="n"/>
      <c r="N60" s="31" t="n"/>
      <c r="O60" s="32" t="n"/>
      <c r="P60" s="33" t="n"/>
      <c r="Q60" s="33" t="n"/>
      <c r="R60" s="27" t="n"/>
      <c r="S60" s="34" t="n"/>
      <c r="T60" s="27" t="n"/>
      <c r="U60" s="27" t="n"/>
      <c r="X60" s="27" t="n"/>
      <c r="Y60" s="27" t="n"/>
      <c r="Z60" s="27" t="n"/>
      <c r="AA60" s="27" t="n"/>
      <c r="AB60" s="27" t="n"/>
      <c r="AC60" s="27" t="n"/>
      <c r="AD60" s="27" t="n"/>
      <c r="AE60" s="27" t="n"/>
      <c r="AF60" s="27" t="n"/>
      <c r="AG60" s="27" t="n"/>
      <c r="AH60" s="27" t="n"/>
    </row>
    <row r="61" ht="15.75" customHeight="1">
      <c r="E61" s="27" t="n"/>
      <c r="F61" s="34" t="n"/>
      <c r="G61" s="27" t="n"/>
      <c r="H61" s="27" t="n"/>
      <c r="I61" s="35" t="n"/>
      <c r="J61" s="36" t="n"/>
      <c r="K61" s="36" t="n"/>
      <c r="L61" s="30" t="n"/>
      <c r="M61" s="31" t="n"/>
      <c r="N61" s="31" t="n"/>
      <c r="O61" s="32" t="n"/>
      <c r="P61" s="33" t="n"/>
      <c r="Q61" s="33" t="n"/>
      <c r="R61" s="27" t="n"/>
      <c r="S61" s="34" t="n"/>
      <c r="T61" s="27" t="n"/>
      <c r="U61" s="27" t="n"/>
      <c r="X61" s="27" t="n"/>
      <c r="Y61" s="27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</row>
    <row r="62" ht="15.75" customHeight="1">
      <c r="E62" s="27" t="n"/>
      <c r="F62" s="34" t="n"/>
      <c r="G62" s="27" t="n"/>
      <c r="H62" s="27" t="n"/>
      <c r="I62" s="35" t="n"/>
      <c r="J62" s="36" t="n"/>
      <c r="K62" s="36" t="n"/>
      <c r="L62" s="30" t="n"/>
      <c r="M62" s="31" t="n"/>
      <c r="N62" s="31" t="n"/>
      <c r="O62" s="32" t="n"/>
      <c r="P62" s="33" t="n"/>
      <c r="Q62" s="33" t="n"/>
      <c r="R62" s="27" t="n"/>
      <c r="S62" s="34" t="n"/>
      <c r="T62" s="27" t="n"/>
      <c r="U62" s="27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</row>
    <row r="63" ht="15.75" customHeight="1">
      <c r="E63" s="27" t="n"/>
      <c r="F63" s="34" t="n"/>
      <c r="G63" s="27" t="n"/>
      <c r="H63" s="27" t="n"/>
      <c r="I63" s="35" t="n"/>
      <c r="J63" s="36" t="n"/>
      <c r="K63" s="36" t="n"/>
      <c r="L63" s="30" t="n"/>
      <c r="M63" s="31" t="n"/>
      <c r="N63" s="31" t="n"/>
      <c r="O63" s="32" t="n"/>
      <c r="P63" s="33" t="n"/>
      <c r="Q63" s="33" t="n"/>
      <c r="R63" s="27" t="n"/>
      <c r="S63" s="34" t="n"/>
      <c r="T63" s="27" t="n"/>
      <c r="U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</row>
    <row r="64" ht="15.75" customHeight="1">
      <c r="E64" s="27" t="n"/>
      <c r="F64" s="34" t="n"/>
      <c r="G64" s="27" t="n"/>
      <c r="H64" s="27" t="n"/>
      <c r="I64" s="35" t="n"/>
      <c r="J64" s="36" t="n"/>
      <c r="K64" s="36" t="n"/>
      <c r="L64" s="30" t="n"/>
      <c r="M64" s="31" t="n"/>
      <c r="N64" s="31" t="n"/>
      <c r="O64" s="32" t="n"/>
      <c r="P64" s="33" t="n"/>
      <c r="Q64" s="33" t="n"/>
      <c r="R64" s="27" t="n"/>
      <c r="S64" s="34" t="n"/>
      <c r="T64" s="27" t="n"/>
      <c r="U64" s="27" t="n"/>
      <c r="X64" s="27" t="n"/>
      <c r="Y64" s="27" t="n"/>
      <c r="Z64" s="27" t="n"/>
      <c r="AA64" s="27" t="n"/>
      <c r="AB64" s="27" t="n"/>
      <c r="AC64" s="27" t="n"/>
      <c r="AD64" s="27" t="n"/>
      <c r="AE64" s="27" t="n"/>
      <c r="AF64" s="27" t="n"/>
      <c r="AG64" s="27" t="n"/>
      <c r="AH64" s="27" t="n"/>
    </row>
    <row r="65" ht="15.75" customHeight="1">
      <c r="E65" s="27" t="n"/>
      <c r="F65" s="34" t="n"/>
      <c r="G65" s="27" t="n"/>
      <c r="H65" s="27" t="n"/>
      <c r="I65" s="35" t="n"/>
      <c r="J65" s="36" t="n"/>
      <c r="K65" s="36" t="n"/>
      <c r="L65" s="30" t="n"/>
      <c r="M65" s="31" t="n"/>
      <c r="N65" s="31" t="n"/>
      <c r="O65" s="32" t="n"/>
      <c r="P65" s="33" t="n"/>
      <c r="Q65" s="33" t="n"/>
      <c r="R65" s="27" t="n"/>
      <c r="S65" s="34" t="n"/>
      <c r="T65" s="27" t="n"/>
      <c r="U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</row>
    <row r="66" ht="15.75" customHeight="1">
      <c r="E66" s="27" t="n"/>
      <c r="F66" s="34" t="n"/>
      <c r="G66" s="27" t="n"/>
      <c r="H66" s="27" t="n"/>
      <c r="I66" s="35" t="n"/>
      <c r="J66" s="36" t="n"/>
      <c r="K66" s="36" t="n"/>
      <c r="L66" s="30" t="n"/>
      <c r="M66" s="31" t="n"/>
      <c r="N66" s="31" t="n"/>
      <c r="O66" s="32" t="n"/>
      <c r="P66" s="33" t="n"/>
      <c r="Q66" s="33" t="n"/>
      <c r="R66" s="27" t="n"/>
      <c r="S66" s="34" t="n"/>
      <c r="T66" s="27" t="n"/>
      <c r="U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</row>
    <row r="67" ht="15.75" customHeight="1">
      <c r="E67" s="27" t="n"/>
      <c r="F67" s="34" t="n"/>
      <c r="G67" s="27" t="n"/>
      <c r="H67" s="27" t="n"/>
      <c r="I67" s="35" t="n"/>
      <c r="J67" s="36" t="n"/>
      <c r="K67" s="36" t="n"/>
      <c r="L67" s="30" t="n"/>
      <c r="M67" s="31" t="n"/>
      <c r="N67" s="31" t="n"/>
      <c r="O67" s="32" t="n"/>
      <c r="P67" s="33" t="n"/>
      <c r="Q67" s="33" t="n"/>
      <c r="R67" s="27" t="n"/>
      <c r="S67" s="34" t="n"/>
      <c r="T67" s="27" t="n"/>
      <c r="U67" s="27" t="n"/>
      <c r="X67" s="27" t="n"/>
      <c r="Y67" s="27" t="n"/>
      <c r="Z67" s="27" t="n"/>
      <c r="AA67" s="27" t="n"/>
      <c r="AB67" s="27" t="n"/>
      <c r="AC67" s="27" t="n"/>
      <c r="AD67" s="27" t="n"/>
      <c r="AE67" s="27" t="n"/>
      <c r="AF67" s="27" t="n"/>
      <c r="AG67" s="27" t="n"/>
      <c r="AH67" s="27" t="n"/>
    </row>
    <row r="68" ht="15.75" customHeight="1">
      <c r="E68" s="27" t="n"/>
      <c r="F68" s="34" t="n"/>
      <c r="G68" s="27" t="n"/>
      <c r="H68" s="27" t="n"/>
      <c r="I68" s="35" t="n"/>
      <c r="J68" s="36" t="n"/>
      <c r="K68" s="36" t="n"/>
      <c r="L68" s="30" t="n"/>
      <c r="M68" s="31" t="n"/>
      <c r="N68" s="31" t="n"/>
      <c r="O68" s="32" t="n"/>
      <c r="P68" s="33" t="n"/>
      <c r="Q68" s="33" t="n"/>
      <c r="R68" s="27" t="n"/>
      <c r="S68" s="34" t="n"/>
      <c r="T68" s="27" t="n"/>
      <c r="U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</row>
    <row r="69" ht="15.75" customHeight="1">
      <c r="E69" s="27" t="n"/>
      <c r="F69" s="34" t="n"/>
      <c r="G69" s="27" t="n"/>
      <c r="H69" s="27" t="n"/>
      <c r="I69" s="35" t="n"/>
      <c r="J69" s="36" t="n"/>
      <c r="K69" s="36" t="n"/>
      <c r="L69" s="30" t="n"/>
      <c r="M69" s="31" t="n"/>
      <c r="N69" s="31" t="n"/>
      <c r="O69" s="32" t="n"/>
      <c r="P69" s="33" t="n"/>
      <c r="Q69" s="33" t="n"/>
      <c r="R69" s="27" t="n"/>
      <c r="S69" s="34" t="n"/>
      <c r="T69" s="27" t="n"/>
      <c r="U69" s="27" t="n"/>
      <c r="X69" s="27" t="n"/>
      <c r="Y69" s="27" t="n"/>
      <c r="Z69" s="27" t="n"/>
      <c r="AA69" s="27" t="n"/>
      <c r="AB69" s="27" t="n"/>
      <c r="AC69" s="27" t="n"/>
      <c r="AD69" s="27" t="n"/>
      <c r="AE69" s="27" t="n"/>
      <c r="AF69" s="27" t="n"/>
      <c r="AG69" s="27" t="n"/>
      <c r="AH69" s="27" t="n"/>
    </row>
    <row r="70" ht="15.75" customHeight="1">
      <c r="E70" s="27" t="n"/>
      <c r="F70" s="34" t="n"/>
      <c r="G70" s="27" t="n"/>
      <c r="H70" s="27" t="n"/>
      <c r="I70" s="35" t="n"/>
      <c r="J70" s="36" t="n"/>
      <c r="K70" s="36" t="n"/>
      <c r="L70" s="30" t="n"/>
      <c r="M70" s="31" t="n"/>
      <c r="N70" s="31" t="n"/>
      <c r="O70" s="32" t="n"/>
      <c r="P70" s="33" t="n"/>
      <c r="Q70" s="33" t="n"/>
      <c r="R70" s="27" t="n"/>
      <c r="S70" s="34" t="n"/>
      <c r="T70" s="27" t="n"/>
      <c r="U70" s="27" t="n"/>
      <c r="X70" s="27" t="n"/>
      <c r="Y70" s="27" t="n"/>
      <c r="Z70" s="27" t="n"/>
      <c r="AA70" s="27" t="n"/>
      <c r="AB70" s="27" t="n"/>
      <c r="AC70" s="27" t="n"/>
      <c r="AD70" s="27" t="n"/>
      <c r="AE70" s="27" t="n"/>
      <c r="AF70" s="27" t="n"/>
      <c r="AG70" s="27" t="n"/>
      <c r="AH70" s="27" t="n"/>
    </row>
    <row r="71" ht="15.75" customHeight="1">
      <c r="E71" s="27" t="n"/>
      <c r="F71" s="34" t="n"/>
      <c r="G71" s="27" t="n"/>
      <c r="H71" s="27" t="n"/>
      <c r="I71" s="35" t="n"/>
      <c r="J71" s="36" t="n"/>
      <c r="K71" s="36" t="n"/>
      <c r="L71" s="30" t="n"/>
      <c r="M71" s="31" t="n"/>
      <c r="N71" s="31" t="n"/>
      <c r="O71" s="32" t="n"/>
      <c r="P71" s="33" t="n"/>
      <c r="Q71" s="33" t="n"/>
      <c r="R71" s="27" t="n"/>
      <c r="S71" s="34" t="n"/>
      <c r="T71" s="27" t="n"/>
      <c r="U71" s="27" t="n"/>
      <c r="X71" s="27" t="n"/>
      <c r="Y71" s="27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</row>
    <row r="72" ht="15.75" customHeight="1">
      <c r="E72" s="27" t="n"/>
      <c r="F72" s="34" t="n"/>
      <c r="G72" s="27" t="n"/>
      <c r="H72" s="27" t="n"/>
      <c r="I72" s="35" t="n"/>
      <c r="J72" s="36" t="n"/>
      <c r="K72" s="36" t="n"/>
      <c r="L72" s="30" t="n"/>
      <c r="M72" s="31" t="n"/>
      <c r="N72" s="31" t="n"/>
      <c r="O72" s="32" t="n"/>
      <c r="P72" s="33" t="n"/>
      <c r="Q72" s="33" t="n"/>
      <c r="R72" s="27" t="n"/>
      <c r="S72" s="34" t="n"/>
      <c r="T72" s="27" t="n"/>
      <c r="U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</row>
    <row r="73" ht="15.75" customHeight="1">
      <c r="E73" s="27" t="n"/>
      <c r="F73" s="34" t="n"/>
      <c r="G73" s="27" t="n"/>
      <c r="H73" s="27" t="n"/>
      <c r="I73" s="35" t="n"/>
      <c r="J73" s="36" t="n"/>
      <c r="K73" s="36" t="n"/>
      <c r="L73" s="30" t="n"/>
      <c r="M73" s="31" t="n"/>
      <c r="N73" s="31" t="n"/>
      <c r="O73" s="32" t="n"/>
      <c r="P73" s="33" t="n"/>
      <c r="Q73" s="33" t="n"/>
      <c r="R73" s="27" t="n"/>
      <c r="S73" s="34" t="n"/>
      <c r="T73" s="27" t="n"/>
      <c r="U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</row>
    <row r="74" ht="15.75" customHeight="1">
      <c r="E74" s="27" t="n"/>
      <c r="F74" s="34" t="n"/>
      <c r="G74" s="27" t="n"/>
      <c r="H74" s="27" t="n"/>
      <c r="I74" s="35" t="n"/>
      <c r="J74" s="36" t="n"/>
      <c r="K74" s="36" t="n"/>
      <c r="L74" s="30" t="n"/>
      <c r="M74" s="31" t="n"/>
      <c r="N74" s="31" t="n"/>
      <c r="O74" s="32" t="n"/>
      <c r="P74" s="33" t="n"/>
      <c r="Q74" s="33" t="n"/>
      <c r="R74" s="27" t="n"/>
      <c r="S74" s="34" t="n"/>
      <c r="T74" s="27" t="n"/>
      <c r="U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</row>
    <row r="75" ht="15.75" customHeight="1">
      <c r="E75" s="27" t="n"/>
      <c r="F75" s="34" t="n"/>
      <c r="G75" s="27" t="n"/>
      <c r="H75" s="27" t="n"/>
      <c r="I75" s="35" t="n"/>
      <c r="J75" s="36" t="n"/>
      <c r="K75" s="36" t="n"/>
      <c r="L75" s="30" t="n"/>
      <c r="M75" s="31" t="n"/>
      <c r="N75" s="31" t="n"/>
      <c r="O75" s="32" t="n"/>
      <c r="P75" s="33" t="n"/>
      <c r="Q75" s="33" t="n"/>
      <c r="R75" s="27" t="n"/>
      <c r="S75" s="34" t="n"/>
      <c r="T75" s="27" t="n"/>
      <c r="U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</row>
    <row r="76" ht="15.75" customHeight="1">
      <c r="E76" s="27" t="n"/>
      <c r="F76" s="34" t="n"/>
      <c r="G76" s="27" t="n"/>
      <c r="H76" s="27" t="n"/>
      <c r="I76" s="35" t="n"/>
      <c r="J76" s="36" t="n"/>
      <c r="K76" s="36" t="n"/>
      <c r="L76" s="30" t="n"/>
      <c r="M76" s="31" t="n"/>
      <c r="N76" s="31" t="n"/>
      <c r="O76" s="32" t="n"/>
      <c r="P76" s="33" t="n"/>
      <c r="Q76" s="33" t="n"/>
      <c r="R76" s="27" t="n"/>
      <c r="S76" s="34" t="n"/>
      <c r="T76" s="27" t="n"/>
      <c r="U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</row>
    <row r="77" ht="15.75" customHeight="1">
      <c r="E77" s="27" t="n"/>
      <c r="F77" s="34" t="n"/>
      <c r="G77" s="27" t="n"/>
      <c r="H77" s="27" t="n"/>
      <c r="I77" s="35" t="n"/>
      <c r="J77" s="36" t="n"/>
      <c r="K77" s="36" t="n"/>
      <c r="L77" s="30" t="n"/>
      <c r="M77" s="31" t="n"/>
      <c r="N77" s="31" t="n"/>
      <c r="O77" s="32" t="n"/>
      <c r="P77" s="33" t="n"/>
      <c r="Q77" s="33" t="n"/>
      <c r="R77" s="27" t="n"/>
      <c r="S77" s="34" t="n"/>
      <c r="T77" s="27" t="n"/>
      <c r="U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</row>
    <row r="78" ht="15.75" customHeight="1">
      <c r="E78" s="27" t="n"/>
      <c r="F78" s="34" t="n"/>
      <c r="G78" s="27" t="n"/>
      <c r="H78" s="27" t="n"/>
      <c r="I78" s="35" t="n"/>
      <c r="J78" s="36" t="n"/>
      <c r="K78" s="36" t="n"/>
      <c r="L78" s="30" t="n"/>
      <c r="M78" s="31" t="n"/>
      <c r="N78" s="31" t="n"/>
      <c r="O78" s="32" t="n"/>
      <c r="P78" s="33" t="n"/>
      <c r="Q78" s="33" t="n"/>
      <c r="R78" s="27" t="n"/>
      <c r="S78" s="34" t="n"/>
      <c r="T78" s="27" t="n"/>
      <c r="U78" s="27" t="n"/>
      <c r="X78" s="27" t="n"/>
      <c r="Y78" s="27" t="n"/>
      <c r="Z78" s="27" t="n"/>
      <c r="AA78" s="27" t="n"/>
      <c r="AB78" s="27" t="n"/>
      <c r="AC78" s="27" t="n"/>
      <c r="AD78" s="27" t="n"/>
      <c r="AE78" s="27" t="n"/>
      <c r="AF78" s="27" t="n"/>
      <c r="AG78" s="27" t="n"/>
      <c r="AH78" s="27" t="n"/>
    </row>
    <row r="79" ht="15.75" customHeight="1">
      <c r="E79" s="27" t="n"/>
      <c r="F79" s="34" t="n"/>
      <c r="G79" s="27" t="n"/>
      <c r="H79" s="27" t="n"/>
      <c r="I79" s="35" t="n"/>
      <c r="J79" s="36" t="n"/>
      <c r="K79" s="36" t="n"/>
      <c r="L79" s="30" t="n"/>
      <c r="M79" s="31" t="n"/>
      <c r="N79" s="31" t="n"/>
      <c r="O79" s="32" t="n"/>
      <c r="P79" s="33" t="n"/>
      <c r="Q79" s="33" t="n"/>
      <c r="R79" s="27" t="n"/>
      <c r="S79" s="34" t="n"/>
      <c r="T79" s="27" t="n"/>
      <c r="U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</row>
    <row r="80" ht="15.75" customHeight="1">
      <c r="E80" s="27" t="n"/>
      <c r="F80" s="34" t="n"/>
      <c r="G80" s="27" t="n"/>
      <c r="H80" s="27" t="n"/>
      <c r="I80" s="35" t="n"/>
      <c r="J80" s="36" t="n"/>
      <c r="K80" s="36" t="n"/>
      <c r="L80" s="30" t="n"/>
      <c r="M80" s="31" t="n"/>
      <c r="N80" s="31" t="n"/>
      <c r="O80" s="32" t="n"/>
      <c r="P80" s="33" t="n"/>
      <c r="Q80" s="33" t="n"/>
      <c r="R80" s="27" t="n"/>
      <c r="S80" s="34" t="n"/>
      <c r="T80" s="27" t="n"/>
      <c r="U80" s="27" t="n"/>
      <c r="X80" s="27" t="n"/>
      <c r="Y80" s="27" t="n"/>
      <c r="Z80" s="27" t="n"/>
      <c r="AA80" s="27" t="n"/>
      <c r="AB80" s="27" t="n"/>
      <c r="AC80" s="27" t="n"/>
      <c r="AD80" s="27" t="n"/>
      <c r="AE80" s="27" t="n"/>
      <c r="AF80" s="27" t="n"/>
      <c r="AG80" s="27" t="n"/>
      <c r="AH80" s="27" t="n"/>
    </row>
    <row r="81" ht="15.75" customHeight="1">
      <c r="E81" s="27" t="n"/>
      <c r="F81" s="34" t="n"/>
      <c r="G81" s="27" t="n"/>
      <c r="H81" s="27" t="n"/>
      <c r="I81" s="35" t="n"/>
      <c r="J81" s="36" t="n"/>
      <c r="K81" s="36" t="n"/>
      <c r="L81" s="30" t="n"/>
      <c r="M81" s="31" t="n"/>
      <c r="N81" s="31" t="n"/>
      <c r="O81" s="32" t="n"/>
      <c r="P81" s="33" t="n"/>
      <c r="Q81" s="33" t="n"/>
      <c r="R81" s="27" t="n"/>
      <c r="S81" s="34" t="n"/>
      <c r="T81" s="27" t="n"/>
      <c r="U81" s="27" t="n"/>
      <c r="X81" s="27" t="n"/>
      <c r="Y81" s="27" t="n"/>
      <c r="Z81" s="27" t="n"/>
      <c r="AA81" s="27" t="n"/>
      <c r="AB81" s="27" t="n"/>
      <c r="AC81" s="27" t="n"/>
      <c r="AD81" s="27" t="n"/>
      <c r="AE81" s="27" t="n"/>
      <c r="AF81" s="27" t="n"/>
      <c r="AG81" s="27" t="n"/>
      <c r="AH81" s="27" t="n"/>
    </row>
    <row r="82" ht="15.75" customHeight="1">
      <c r="E82" s="27" t="n"/>
      <c r="F82" s="34" t="n"/>
      <c r="G82" s="27" t="n"/>
      <c r="H82" s="27" t="n"/>
      <c r="I82" s="35" t="n"/>
      <c r="J82" s="36" t="n"/>
      <c r="K82" s="36" t="n"/>
      <c r="L82" s="30" t="n"/>
      <c r="M82" s="31" t="n"/>
      <c r="N82" s="31" t="n"/>
      <c r="O82" s="32" t="n"/>
      <c r="P82" s="33" t="n"/>
      <c r="Q82" s="33" t="n"/>
      <c r="R82" s="27" t="n"/>
      <c r="S82" s="34" t="n"/>
      <c r="T82" s="27" t="n"/>
      <c r="U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</row>
    <row r="83" ht="15.75" customHeight="1">
      <c r="E83" s="27" t="n"/>
      <c r="F83" s="34" t="n"/>
      <c r="G83" s="27" t="n"/>
      <c r="H83" s="27" t="n"/>
      <c r="I83" s="35" t="n"/>
      <c r="J83" s="36" t="n"/>
      <c r="K83" s="36" t="n"/>
      <c r="L83" s="30" t="n"/>
      <c r="M83" s="31" t="n"/>
      <c r="N83" s="31" t="n"/>
      <c r="O83" s="32" t="n"/>
      <c r="P83" s="33" t="n"/>
      <c r="Q83" s="33" t="n"/>
      <c r="R83" s="27" t="n"/>
      <c r="S83" s="34" t="n"/>
      <c r="T83" s="27" t="n"/>
      <c r="U83" s="27" t="n"/>
      <c r="X83" s="27" t="n"/>
      <c r="Y83" s="27" t="n"/>
      <c r="Z83" s="27" t="n"/>
      <c r="AA83" s="27" t="n"/>
      <c r="AB83" s="27" t="n"/>
      <c r="AC83" s="27" t="n"/>
      <c r="AD83" s="27" t="n"/>
      <c r="AE83" s="27" t="n"/>
      <c r="AF83" s="27" t="n"/>
      <c r="AG83" s="27" t="n"/>
      <c r="AH83" s="27" t="n"/>
    </row>
    <row r="84" ht="15.75" customHeight="1">
      <c r="E84" s="27" t="n"/>
      <c r="F84" s="34" t="n"/>
      <c r="G84" s="27" t="n"/>
      <c r="H84" s="27" t="n"/>
      <c r="I84" s="35" t="n"/>
      <c r="J84" s="36" t="n"/>
      <c r="K84" s="36" t="n"/>
      <c r="L84" s="30" t="n"/>
      <c r="M84" s="31" t="n"/>
      <c r="N84" s="31" t="n"/>
      <c r="O84" s="32" t="n"/>
      <c r="P84" s="33" t="n"/>
      <c r="Q84" s="33" t="n"/>
      <c r="R84" s="27" t="n"/>
      <c r="S84" s="34" t="n"/>
      <c r="T84" s="27" t="n"/>
      <c r="U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</row>
    <row r="85" ht="15.75" customHeight="1">
      <c r="E85" s="27" t="n"/>
      <c r="F85" s="34" t="n"/>
      <c r="G85" s="27" t="n"/>
      <c r="H85" s="27" t="n"/>
      <c r="I85" s="35" t="n"/>
      <c r="J85" s="36" t="n"/>
      <c r="K85" s="36" t="n"/>
      <c r="L85" s="30" t="n"/>
      <c r="M85" s="31" t="n"/>
      <c r="N85" s="31" t="n"/>
      <c r="O85" s="32" t="n"/>
      <c r="P85" s="33" t="n"/>
      <c r="Q85" s="33" t="n"/>
      <c r="R85" s="27" t="n"/>
      <c r="S85" s="34" t="n"/>
      <c r="T85" s="27" t="n"/>
      <c r="U85" s="27" t="n"/>
      <c r="X85" s="27" t="n"/>
      <c r="Y85" s="27" t="n"/>
      <c r="Z85" s="27" t="n"/>
      <c r="AA85" s="27" t="n"/>
      <c r="AB85" s="27" t="n"/>
      <c r="AC85" s="27" t="n"/>
      <c r="AD85" s="27" t="n"/>
      <c r="AE85" s="27" t="n"/>
      <c r="AF85" s="27" t="n"/>
      <c r="AG85" s="27" t="n"/>
      <c r="AH85" s="27" t="n"/>
    </row>
    <row r="86" ht="15.75" customHeight="1">
      <c r="E86" s="27" t="n"/>
      <c r="F86" s="34" t="n"/>
      <c r="G86" s="27" t="n"/>
      <c r="H86" s="27" t="n"/>
      <c r="I86" s="35" t="n"/>
      <c r="J86" s="36" t="n"/>
      <c r="K86" s="36" t="n"/>
      <c r="L86" s="30" t="n"/>
      <c r="M86" s="31" t="n"/>
      <c r="N86" s="31" t="n"/>
      <c r="O86" s="32" t="n"/>
      <c r="P86" s="33" t="n"/>
      <c r="Q86" s="33" t="n"/>
      <c r="R86" s="27" t="n"/>
      <c r="S86" s="34" t="n"/>
      <c r="T86" s="27" t="n"/>
      <c r="U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</row>
    <row r="87" ht="15.75" customHeight="1">
      <c r="E87" s="27" t="n"/>
      <c r="F87" s="34" t="n"/>
      <c r="G87" s="27" t="n"/>
      <c r="H87" s="27" t="n"/>
      <c r="I87" s="35" t="n"/>
      <c r="J87" s="36" t="n"/>
      <c r="K87" s="36" t="n"/>
      <c r="L87" s="30" t="n"/>
      <c r="M87" s="31" t="n"/>
      <c r="N87" s="31" t="n"/>
      <c r="O87" s="32" t="n"/>
      <c r="P87" s="33" t="n"/>
      <c r="Q87" s="33" t="n"/>
      <c r="R87" s="27" t="n"/>
      <c r="S87" s="34" t="n"/>
      <c r="T87" s="27" t="n"/>
      <c r="U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</row>
    <row r="88" ht="15.75" customHeight="1">
      <c r="E88" s="27" t="n"/>
      <c r="F88" s="34" t="n"/>
      <c r="G88" s="27" t="n"/>
      <c r="H88" s="27" t="n"/>
      <c r="I88" s="35" t="n"/>
      <c r="J88" s="36" t="n"/>
      <c r="K88" s="36" t="n"/>
      <c r="L88" s="30" t="n"/>
      <c r="M88" s="31" t="n"/>
      <c r="N88" s="31" t="n"/>
      <c r="O88" s="32" t="n"/>
      <c r="P88" s="33" t="n"/>
      <c r="Q88" s="33" t="n"/>
      <c r="R88" s="27" t="n"/>
      <c r="S88" s="34" t="n"/>
      <c r="T88" s="27" t="n"/>
      <c r="U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</row>
    <row r="89" ht="15.75" customHeight="1">
      <c r="E89" s="27" t="n"/>
      <c r="F89" s="34" t="n"/>
      <c r="G89" s="27" t="n"/>
      <c r="H89" s="27" t="n"/>
      <c r="I89" s="35" t="n"/>
      <c r="J89" s="36" t="n"/>
      <c r="K89" s="36" t="n"/>
      <c r="L89" s="30" t="n"/>
      <c r="M89" s="31" t="n"/>
      <c r="N89" s="31" t="n"/>
      <c r="O89" s="32" t="n"/>
      <c r="P89" s="33" t="n"/>
      <c r="Q89" s="33" t="n"/>
      <c r="R89" s="27" t="n"/>
      <c r="S89" s="34" t="n"/>
      <c r="T89" s="27" t="n"/>
      <c r="U89" s="27" t="n"/>
      <c r="X89" s="27" t="n"/>
      <c r="Y89" s="27" t="n"/>
      <c r="Z89" s="27" t="n"/>
      <c r="AA89" s="27" t="n"/>
      <c r="AB89" s="27" t="n"/>
      <c r="AC89" s="27" t="n"/>
      <c r="AD89" s="27" t="n"/>
      <c r="AE89" s="27" t="n"/>
      <c r="AF89" s="27" t="n"/>
      <c r="AG89" s="27" t="n"/>
      <c r="AH89" s="27" t="n"/>
    </row>
    <row r="90" ht="15.75" customHeight="1">
      <c r="E90" s="27" t="n"/>
      <c r="F90" s="34" t="n"/>
      <c r="G90" s="27" t="n"/>
      <c r="H90" s="27" t="n"/>
      <c r="I90" s="35" t="n"/>
      <c r="J90" s="36" t="n"/>
      <c r="K90" s="36" t="n"/>
      <c r="L90" s="30" t="n"/>
      <c r="M90" s="31" t="n"/>
      <c r="N90" s="31" t="n"/>
      <c r="O90" s="32" t="n"/>
      <c r="P90" s="33" t="n"/>
      <c r="Q90" s="33" t="n"/>
      <c r="R90" s="27" t="n"/>
      <c r="S90" s="34" t="n"/>
      <c r="T90" s="27" t="n"/>
      <c r="U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</row>
    <row r="91" ht="15.75" customHeight="1">
      <c r="E91" s="27" t="n"/>
      <c r="F91" s="34" t="n"/>
      <c r="G91" s="27" t="n"/>
      <c r="H91" s="27" t="n"/>
      <c r="I91" s="35" t="n"/>
      <c r="J91" s="36" t="n"/>
      <c r="K91" s="36" t="n"/>
      <c r="L91" s="30" t="n"/>
      <c r="M91" s="31" t="n"/>
      <c r="N91" s="31" t="n"/>
      <c r="O91" s="32" t="n"/>
      <c r="P91" s="33" t="n"/>
      <c r="Q91" s="33" t="n"/>
      <c r="R91" s="27" t="n"/>
      <c r="S91" s="34" t="n"/>
      <c r="T91" s="27" t="n"/>
      <c r="U91" s="27" t="n"/>
      <c r="X91" s="27" t="n"/>
      <c r="Y91" s="27" t="n"/>
      <c r="Z91" s="27" t="n"/>
      <c r="AA91" s="27" t="n"/>
      <c r="AB91" s="27" t="n"/>
      <c r="AC91" s="27" t="n"/>
      <c r="AD91" s="27" t="n"/>
      <c r="AE91" s="27" t="n"/>
      <c r="AF91" s="27" t="n"/>
      <c r="AG91" s="27" t="n"/>
      <c r="AH91" s="27" t="n"/>
    </row>
    <row r="92" ht="15.75" customHeight="1">
      <c r="E92" s="27" t="n"/>
      <c r="F92" s="34" t="n"/>
      <c r="G92" s="27" t="n"/>
      <c r="H92" s="27" t="n"/>
      <c r="I92" s="35" t="n"/>
      <c r="J92" s="36" t="n"/>
      <c r="K92" s="36" t="n"/>
      <c r="L92" s="30" t="n"/>
      <c r="M92" s="31" t="n"/>
      <c r="N92" s="31" t="n"/>
      <c r="O92" s="32" t="n"/>
      <c r="P92" s="33" t="n"/>
      <c r="Q92" s="33" t="n"/>
      <c r="R92" s="27" t="n"/>
      <c r="S92" s="34" t="n"/>
      <c r="T92" s="27" t="n"/>
      <c r="U92" s="27" t="n"/>
      <c r="X92" s="27" t="n"/>
      <c r="Y92" s="27" t="n"/>
      <c r="Z92" s="27" t="n"/>
      <c r="AA92" s="27" t="n"/>
      <c r="AB92" s="27" t="n"/>
      <c r="AC92" s="27" t="n"/>
      <c r="AD92" s="27" t="n"/>
      <c r="AE92" s="27" t="n"/>
      <c r="AF92" s="27" t="n"/>
      <c r="AG92" s="27" t="n"/>
      <c r="AH92" s="27" t="n"/>
    </row>
    <row r="93" ht="15.75" customHeight="1">
      <c r="E93" s="27" t="n"/>
      <c r="F93" s="34" t="n"/>
      <c r="G93" s="27" t="n"/>
      <c r="H93" s="27" t="n"/>
      <c r="I93" s="35" t="n"/>
      <c r="J93" s="36" t="n"/>
      <c r="K93" s="36" t="n"/>
      <c r="L93" s="30" t="n"/>
      <c r="M93" s="31" t="n"/>
      <c r="N93" s="31" t="n"/>
      <c r="O93" s="32" t="n"/>
      <c r="P93" s="33" t="n"/>
      <c r="Q93" s="33" t="n"/>
      <c r="R93" s="27" t="n"/>
      <c r="S93" s="34" t="n"/>
      <c r="T93" s="27" t="n"/>
      <c r="U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</row>
    <row r="94" ht="15.75" customHeight="1">
      <c r="E94" s="27" t="n"/>
      <c r="F94" s="34" t="n"/>
      <c r="G94" s="27" t="n"/>
      <c r="H94" s="27" t="n"/>
      <c r="I94" s="35" t="n"/>
      <c r="J94" s="36" t="n"/>
      <c r="K94" s="36" t="n"/>
      <c r="L94" s="30" t="n"/>
      <c r="M94" s="31" t="n"/>
      <c r="N94" s="31" t="n"/>
      <c r="O94" s="32" t="n"/>
      <c r="P94" s="33" t="n"/>
      <c r="Q94" s="33" t="n"/>
      <c r="R94" s="27" t="n"/>
      <c r="S94" s="34" t="n"/>
      <c r="T94" s="27" t="n"/>
      <c r="U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</row>
    <row r="95" ht="15.75" customHeight="1">
      <c r="E95" s="27" t="n"/>
      <c r="F95" s="34" t="n"/>
      <c r="G95" s="27" t="n"/>
      <c r="H95" s="27" t="n"/>
      <c r="I95" s="35" t="n"/>
      <c r="J95" s="36" t="n"/>
      <c r="K95" s="36" t="n"/>
      <c r="L95" s="30" t="n"/>
      <c r="M95" s="31" t="n"/>
      <c r="N95" s="31" t="n"/>
      <c r="O95" s="32" t="n"/>
      <c r="P95" s="33" t="n"/>
      <c r="Q95" s="33" t="n"/>
      <c r="R95" s="27" t="n"/>
      <c r="S95" s="34" t="n"/>
      <c r="T95" s="27" t="n"/>
      <c r="U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</row>
    <row r="96" ht="15.75" customHeight="1">
      <c r="E96" s="27" t="n"/>
      <c r="F96" s="34" t="n"/>
      <c r="G96" s="27" t="n"/>
      <c r="H96" s="27" t="n"/>
      <c r="I96" s="35" t="n"/>
      <c r="J96" s="36" t="n"/>
      <c r="K96" s="36" t="n"/>
      <c r="L96" s="30" t="n"/>
      <c r="M96" s="31" t="n"/>
      <c r="N96" s="31" t="n"/>
      <c r="O96" s="32" t="n"/>
      <c r="P96" s="33" t="n"/>
      <c r="Q96" s="33" t="n"/>
      <c r="R96" s="27" t="n"/>
      <c r="S96" s="34" t="n"/>
      <c r="T96" s="27" t="n"/>
      <c r="U96" s="27" t="n"/>
      <c r="X96" s="27" t="n"/>
      <c r="Y96" s="27" t="n"/>
      <c r="Z96" s="27" t="n"/>
      <c r="AA96" s="27" t="n"/>
      <c r="AB96" s="27" t="n"/>
      <c r="AC96" s="27" t="n"/>
      <c r="AD96" s="27" t="n"/>
      <c r="AE96" s="27" t="n"/>
      <c r="AF96" s="27" t="n"/>
      <c r="AG96" s="27" t="n"/>
      <c r="AH96" s="27" t="n"/>
    </row>
    <row r="97" ht="15.75" customHeight="1">
      <c r="E97" s="27" t="n"/>
      <c r="F97" s="34" t="n"/>
      <c r="G97" s="27" t="n"/>
      <c r="H97" s="27" t="n"/>
      <c r="I97" s="35" t="n"/>
      <c r="J97" s="36" t="n"/>
      <c r="K97" s="36" t="n"/>
      <c r="L97" s="30" t="n"/>
      <c r="M97" s="31" t="n"/>
      <c r="N97" s="31" t="n"/>
      <c r="O97" s="32" t="n"/>
      <c r="P97" s="33" t="n"/>
      <c r="Q97" s="33" t="n"/>
      <c r="R97" s="27" t="n"/>
      <c r="S97" s="34" t="n"/>
      <c r="T97" s="27" t="n"/>
      <c r="U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</row>
    <row r="98" ht="15.75" customHeight="1">
      <c r="E98" s="27" t="n"/>
      <c r="F98" s="34" t="n"/>
      <c r="G98" s="27" t="n"/>
      <c r="H98" s="27" t="n"/>
      <c r="I98" s="35" t="n"/>
      <c r="J98" s="36" t="n"/>
      <c r="K98" s="36" t="n"/>
      <c r="L98" s="30" t="n"/>
      <c r="M98" s="31" t="n"/>
      <c r="N98" s="31" t="n"/>
      <c r="O98" s="32" t="n"/>
      <c r="P98" s="33" t="n"/>
      <c r="Q98" s="33" t="n"/>
      <c r="R98" s="27" t="n"/>
      <c r="S98" s="34" t="n"/>
      <c r="T98" s="27" t="n"/>
      <c r="U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</row>
    <row r="99" ht="15.75" customHeight="1">
      <c r="E99" s="27" t="n"/>
      <c r="F99" s="34" t="n"/>
      <c r="G99" s="27" t="n"/>
      <c r="H99" s="27" t="n"/>
      <c r="I99" s="35" t="n"/>
      <c r="J99" s="36" t="n"/>
      <c r="K99" s="36" t="n"/>
      <c r="L99" s="30" t="n"/>
      <c r="M99" s="31" t="n"/>
      <c r="N99" s="31" t="n"/>
      <c r="O99" s="32" t="n"/>
      <c r="P99" s="33" t="n"/>
      <c r="Q99" s="33" t="n"/>
      <c r="R99" s="27" t="n"/>
      <c r="S99" s="34" t="n"/>
      <c r="T99" s="27" t="n"/>
      <c r="U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</row>
    <row r="100" ht="15.75" customHeight="1">
      <c r="E100" s="27" t="n"/>
      <c r="F100" s="34" t="n"/>
      <c r="G100" s="27" t="n"/>
      <c r="H100" s="27" t="n"/>
      <c r="I100" s="35" t="n"/>
      <c r="J100" s="36" t="n"/>
      <c r="K100" s="36" t="n"/>
      <c r="L100" s="30" t="n"/>
      <c r="M100" s="31" t="n"/>
      <c r="N100" s="31" t="n"/>
      <c r="O100" s="32" t="n"/>
      <c r="P100" s="33" t="n"/>
      <c r="Q100" s="33" t="n"/>
      <c r="R100" s="27" t="n"/>
      <c r="S100" s="34" t="n"/>
      <c r="T100" s="27" t="n"/>
      <c r="U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  <c r="AF100" s="27" t="n"/>
      <c r="AG100" s="27" t="n"/>
      <c r="AH100" s="27" t="n"/>
    </row>
    <row r="101" ht="15.75" customHeight="1">
      <c r="E101" s="27" t="n"/>
      <c r="F101" s="34" t="n"/>
      <c r="G101" s="27" t="n"/>
      <c r="H101" s="27" t="n"/>
      <c r="I101" s="35" t="n"/>
      <c r="J101" s="36" t="n"/>
      <c r="K101" s="36" t="n"/>
      <c r="L101" s="30" t="n"/>
      <c r="M101" s="31" t="n"/>
      <c r="N101" s="31" t="n"/>
      <c r="O101" s="32" t="n"/>
      <c r="P101" s="33" t="n"/>
      <c r="Q101" s="33" t="n"/>
      <c r="R101" s="27" t="n"/>
      <c r="S101" s="34" t="n"/>
      <c r="T101" s="27" t="n"/>
      <c r="U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</row>
    <row r="102" ht="15.75" customHeight="1">
      <c r="E102" s="27" t="n"/>
      <c r="F102" s="34" t="n"/>
      <c r="G102" s="27" t="n"/>
      <c r="H102" s="27" t="n"/>
      <c r="I102" s="35" t="n"/>
      <c r="J102" s="36" t="n"/>
      <c r="K102" s="36" t="n"/>
      <c r="L102" s="30" t="n"/>
      <c r="M102" s="31" t="n"/>
      <c r="N102" s="31" t="n"/>
      <c r="O102" s="32" t="n"/>
      <c r="P102" s="33" t="n"/>
      <c r="Q102" s="33" t="n"/>
      <c r="R102" s="27" t="n"/>
      <c r="S102" s="34" t="n"/>
      <c r="T102" s="27" t="n"/>
      <c r="U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  <c r="AF102" s="27" t="n"/>
      <c r="AG102" s="27" t="n"/>
      <c r="AH102" s="27" t="n"/>
    </row>
    <row r="103" ht="15.75" customHeight="1">
      <c r="E103" s="27" t="n"/>
      <c r="F103" s="34" t="n"/>
      <c r="G103" s="27" t="n"/>
      <c r="H103" s="27" t="n"/>
      <c r="I103" s="35" t="n"/>
      <c r="J103" s="36" t="n"/>
      <c r="K103" s="36" t="n"/>
      <c r="L103" s="30" t="n"/>
      <c r="M103" s="31" t="n"/>
      <c r="N103" s="31" t="n"/>
      <c r="O103" s="32" t="n"/>
      <c r="P103" s="33" t="n"/>
      <c r="Q103" s="33" t="n"/>
      <c r="R103" s="27" t="n"/>
      <c r="S103" s="34" t="n"/>
      <c r="T103" s="27" t="n"/>
      <c r="U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  <c r="AF103" s="27" t="n"/>
      <c r="AG103" s="27" t="n"/>
      <c r="AH103" s="27" t="n"/>
    </row>
    <row r="104" ht="15.75" customHeight="1">
      <c r="E104" s="27" t="n"/>
      <c r="F104" s="34" t="n"/>
      <c r="G104" s="27" t="n"/>
      <c r="H104" s="27" t="n"/>
      <c r="I104" s="35" t="n"/>
      <c r="J104" s="36" t="n"/>
      <c r="K104" s="36" t="n"/>
      <c r="L104" s="30" t="n"/>
      <c r="M104" s="31" t="n"/>
      <c r="N104" s="31" t="n"/>
      <c r="O104" s="32" t="n"/>
      <c r="P104" s="33" t="n"/>
      <c r="Q104" s="33" t="n"/>
      <c r="R104" s="27" t="n"/>
      <c r="S104" s="34" t="n"/>
      <c r="T104" s="27" t="n"/>
      <c r="U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</row>
    <row r="105" ht="15.75" customHeight="1">
      <c r="E105" s="27" t="n"/>
      <c r="F105" s="34" t="n"/>
      <c r="G105" s="27" t="n"/>
      <c r="H105" s="27" t="n"/>
      <c r="I105" s="35" t="n"/>
      <c r="J105" s="36" t="n"/>
      <c r="K105" s="36" t="n"/>
      <c r="L105" s="30" t="n"/>
      <c r="M105" s="31" t="n"/>
      <c r="N105" s="31" t="n"/>
      <c r="O105" s="32" t="n"/>
      <c r="P105" s="33" t="n"/>
      <c r="Q105" s="33" t="n"/>
      <c r="R105" s="27" t="n"/>
      <c r="S105" s="34" t="n"/>
      <c r="T105" s="27" t="n"/>
      <c r="U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</row>
    <row r="106" ht="15.75" customHeight="1">
      <c r="E106" s="27" t="n"/>
      <c r="F106" s="34" t="n"/>
      <c r="G106" s="27" t="n"/>
      <c r="H106" s="27" t="n"/>
      <c r="I106" s="35" t="n"/>
      <c r="J106" s="36" t="n"/>
      <c r="K106" s="36" t="n"/>
      <c r="L106" s="30" t="n"/>
      <c r="M106" s="31" t="n"/>
      <c r="N106" s="31" t="n"/>
      <c r="O106" s="32" t="n"/>
      <c r="P106" s="33" t="n"/>
      <c r="Q106" s="33" t="n"/>
      <c r="R106" s="27" t="n"/>
      <c r="S106" s="34" t="n"/>
      <c r="T106" s="27" t="n"/>
      <c r="U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</row>
    <row r="107" ht="15.75" customHeight="1">
      <c r="E107" s="27" t="n"/>
      <c r="F107" s="34" t="n"/>
      <c r="G107" s="27" t="n"/>
      <c r="H107" s="27" t="n"/>
      <c r="I107" s="35" t="n"/>
      <c r="J107" s="36" t="n"/>
      <c r="K107" s="36" t="n"/>
      <c r="L107" s="30" t="n"/>
      <c r="M107" s="31" t="n"/>
      <c r="N107" s="31" t="n"/>
      <c r="O107" s="32" t="n"/>
      <c r="P107" s="33" t="n"/>
      <c r="Q107" s="33" t="n"/>
      <c r="R107" s="27" t="n"/>
      <c r="S107" s="34" t="n"/>
      <c r="T107" s="27" t="n"/>
      <c r="U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  <c r="AF107" s="27" t="n"/>
      <c r="AG107" s="27" t="n"/>
      <c r="AH107" s="27" t="n"/>
    </row>
    <row r="108" ht="15.75" customHeight="1">
      <c r="E108" s="27" t="n"/>
      <c r="F108" s="34" t="n"/>
      <c r="G108" s="27" t="n"/>
      <c r="H108" s="27" t="n"/>
      <c r="I108" s="35" t="n"/>
      <c r="J108" s="36" t="n"/>
      <c r="K108" s="36" t="n"/>
      <c r="L108" s="30" t="n"/>
      <c r="M108" s="31" t="n"/>
      <c r="N108" s="31" t="n"/>
      <c r="O108" s="32" t="n"/>
      <c r="P108" s="33" t="n"/>
      <c r="Q108" s="33" t="n"/>
      <c r="R108" s="27" t="n"/>
      <c r="S108" s="34" t="n"/>
      <c r="T108" s="27" t="n"/>
      <c r="U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</row>
    <row r="109" ht="15.75" customHeight="1">
      <c r="E109" s="27" t="n"/>
      <c r="F109" s="34" t="n"/>
      <c r="G109" s="27" t="n"/>
      <c r="H109" s="27" t="n"/>
      <c r="I109" s="35" t="n"/>
      <c r="J109" s="36" t="n"/>
      <c r="K109" s="36" t="n"/>
      <c r="L109" s="30" t="n"/>
      <c r="M109" s="31" t="n"/>
      <c r="N109" s="31" t="n"/>
      <c r="O109" s="32" t="n"/>
      <c r="P109" s="33" t="n"/>
      <c r="Q109" s="33" t="n"/>
      <c r="R109" s="27" t="n"/>
      <c r="S109" s="34" t="n"/>
      <c r="T109" s="27" t="n"/>
      <c r="U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</row>
    <row r="110" ht="15.75" customHeight="1">
      <c r="E110" s="27" t="n"/>
      <c r="F110" s="34" t="n"/>
      <c r="G110" s="27" t="n"/>
      <c r="H110" s="27" t="n"/>
      <c r="I110" s="35" t="n"/>
      <c r="J110" s="36" t="n"/>
      <c r="K110" s="36" t="n"/>
      <c r="L110" s="30" t="n"/>
      <c r="M110" s="31" t="n"/>
      <c r="N110" s="31" t="n"/>
      <c r="O110" s="32" t="n"/>
      <c r="P110" s="33" t="n"/>
      <c r="Q110" s="33" t="n"/>
      <c r="R110" s="27" t="n"/>
      <c r="S110" s="34" t="n"/>
      <c r="T110" s="27" t="n"/>
      <c r="U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</row>
    <row r="111" ht="15.75" customHeight="1">
      <c r="E111" s="27" t="n"/>
      <c r="F111" s="34" t="n"/>
      <c r="G111" s="27" t="n"/>
      <c r="H111" s="27" t="n"/>
      <c r="I111" s="35" t="n"/>
      <c r="J111" s="36" t="n"/>
      <c r="K111" s="36" t="n"/>
      <c r="L111" s="30" t="n"/>
      <c r="M111" s="31" t="n"/>
      <c r="N111" s="31" t="n"/>
      <c r="O111" s="32" t="n"/>
      <c r="P111" s="33" t="n"/>
      <c r="Q111" s="33" t="n"/>
      <c r="R111" s="27" t="n"/>
      <c r="S111" s="34" t="n"/>
      <c r="T111" s="27" t="n"/>
      <c r="U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  <c r="AF111" s="27" t="n"/>
      <c r="AG111" s="27" t="n"/>
      <c r="AH111" s="27" t="n"/>
    </row>
    <row r="112" ht="15.75" customHeight="1">
      <c r="E112" s="27" t="n"/>
      <c r="F112" s="34" t="n"/>
      <c r="G112" s="27" t="n"/>
      <c r="H112" s="27" t="n"/>
      <c r="I112" s="35" t="n"/>
      <c r="J112" s="36" t="n"/>
      <c r="K112" s="36" t="n"/>
      <c r="L112" s="30" t="n"/>
      <c r="M112" s="31" t="n"/>
      <c r="N112" s="31" t="n"/>
      <c r="O112" s="32" t="n"/>
      <c r="P112" s="33" t="n"/>
      <c r="Q112" s="33" t="n"/>
      <c r="R112" s="27" t="n"/>
      <c r="S112" s="34" t="n"/>
      <c r="T112" s="27" t="n"/>
      <c r="U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</row>
    <row r="113" ht="15.75" customHeight="1">
      <c r="E113" s="27" t="n"/>
      <c r="F113" s="34" t="n"/>
      <c r="G113" s="27" t="n"/>
      <c r="H113" s="27" t="n"/>
      <c r="I113" s="35" t="n"/>
      <c r="J113" s="36" t="n"/>
      <c r="K113" s="36" t="n"/>
      <c r="L113" s="30" t="n"/>
      <c r="M113" s="31" t="n"/>
      <c r="N113" s="31" t="n"/>
      <c r="O113" s="32" t="n"/>
      <c r="P113" s="33" t="n"/>
      <c r="Q113" s="33" t="n"/>
      <c r="R113" s="27" t="n"/>
      <c r="S113" s="34" t="n"/>
      <c r="T113" s="27" t="n"/>
      <c r="U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  <c r="AF113" s="27" t="n"/>
      <c r="AG113" s="27" t="n"/>
      <c r="AH113" s="27" t="n"/>
    </row>
    <row r="114" ht="15.75" customHeight="1">
      <c r="E114" s="27" t="n"/>
      <c r="F114" s="34" t="n"/>
      <c r="G114" s="27" t="n"/>
      <c r="H114" s="27" t="n"/>
      <c r="I114" s="35" t="n"/>
      <c r="J114" s="36" t="n"/>
      <c r="K114" s="36" t="n"/>
      <c r="L114" s="30" t="n"/>
      <c r="M114" s="31" t="n"/>
      <c r="N114" s="31" t="n"/>
      <c r="O114" s="32" t="n"/>
      <c r="P114" s="33" t="n"/>
      <c r="Q114" s="33" t="n"/>
      <c r="R114" s="27" t="n"/>
      <c r="S114" s="34" t="n"/>
      <c r="T114" s="27" t="n"/>
      <c r="U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  <c r="AF114" s="27" t="n"/>
      <c r="AG114" s="27" t="n"/>
      <c r="AH114" s="27" t="n"/>
    </row>
    <row r="115" ht="15.75" customHeight="1">
      <c r="E115" s="27" t="n"/>
      <c r="F115" s="34" t="n"/>
      <c r="G115" s="27" t="n"/>
      <c r="H115" s="27" t="n"/>
      <c r="I115" s="35" t="n"/>
      <c r="J115" s="36" t="n"/>
      <c r="K115" s="36" t="n"/>
      <c r="L115" s="30" t="n"/>
      <c r="M115" s="31" t="n"/>
      <c r="N115" s="31" t="n"/>
      <c r="O115" s="32" t="n"/>
      <c r="P115" s="33" t="n"/>
      <c r="Q115" s="33" t="n"/>
      <c r="R115" s="27" t="n"/>
      <c r="S115" s="34" t="n"/>
      <c r="T115" s="27" t="n"/>
      <c r="U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</row>
    <row r="116" ht="15.75" customHeight="1">
      <c r="E116" s="27" t="n"/>
      <c r="F116" s="34" t="n"/>
      <c r="G116" s="27" t="n"/>
      <c r="H116" s="27" t="n"/>
      <c r="I116" s="35" t="n"/>
      <c r="J116" s="36" t="n"/>
      <c r="K116" s="36" t="n"/>
      <c r="L116" s="30" t="n"/>
      <c r="M116" s="31" t="n"/>
      <c r="N116" s="31" t="n"/>
      <c r="O116" s="32" t="n"/>
      <c r="P116" s="33" t="n"/>
      <c r="Q116" s="33" t="n"/>
      <c r="R116" s="27" t="n"/>
      <c r="S116" s="34" t="n"/>
      <c r="T116" s="27" t="n"/>
      <c r="U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</row>
    <row r="117" ht="15.75" customHeight="1">
      <c r="E117" s="27" t="n"/>
      <c r="F117" s="34" t="n"/>
      <c r="G117" s="27" t="n"/>
      <c r="H117" s="27" t="n"/>
      <c r="I117" s="35" t="n"/>
      <c r="J117" s="36" t="n"/>
      <c r="K117" s="36" t="n"/>
      <c r="L117" s="30" t="n"/>
      <c r="M117" s="31" t="n"/>
      <c r="N117" s="31" t="n"/>
      <c r="O117" s="32" t="n"/>
      <c r="P117" s="33" t="n"/>
      <c r="Q117" s="33" t="n"/>
      <c r="R117" s="27" t="n"/>
      <c r="S117" s="34" t="n"/>
      <c r="T117" s="27" t="n"/>
      <c r="U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</row>
    <row r="118" ht="15.75" customHeight="1">
      <c r="E118" s="27" t="n"/>
      <c r="F118" s="34" t="n"/>
      <c r="G118" s="27" t="n"/>
      <c r="H118" s="27" t="n"/>
      <c r="I118" s="35" t="n"/>
      <c r="J118" s="36" t="n"/>
      <c r="K118" s="36" t="n"/>
      <c r="L118" s="30" t="n"/>
      <c r="M118" s="31" t="n"/>
      <c r="N118" s="31" t="n"/>
      <c r="O118" s="32" t="n"/>
      <c r="P118" s="33" t="n"/>
      <c r="Q118" s="33" t="n"/>
      <c r="R118" s="27" t="n"/>
      <c r="S118" s="34" t="n"/>
      <c r="T118" s="27" t="n"/>
      <c r="U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  <c r="AF118" s="27" t="n"/>
      <c r="AG118" s="27" t="n"/>
      <c r="AH118" s="27" t="n"/>
    </row>
    <row r="119" ht="15.75" customHeight="1">
      <c r="E119" s="27" t="n"/>
      <c r="F119" s="34" t="n"/>
      <c r="G119" s="27" t="n"/>
      <c r="H119" s="27" t="n"/>
      <c r="I119" s="35" t="n"/>
      <c r="J119" s="36" t="n"/>
      <c r="K119" s="36" t="n"/>
      <c r="L119" s="30" t="n"/>
      <c r="M119" s="31" t="n"/>
      <c r="N119" s="31" t="n"/>
      <c r="O119" s="32" t="n"/>
      <c r="P119" s="33" t="n"/>
      <c r="Q119" s="33" t="n"/>
      <c r="R119" s="27" t="n"/>
      <c r="S119" s="34" t="n"/>
      <c r="T119" s="27" t="n"/>
      <c r="U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</row>
    <row r="120" ht="15.75" customHeight="1">
      <c r="E120" s="27" t="n"/>
      <c r="F120" s="34" t="n"/>
      <c r="G120" s="27" t="n"/>
      <c r="H120" s="27" t="n"/>
      <c r="I120" s="35" t="n"/>
      <c r="J120" s="36" t="n"/>
      <c r="K120" s="36" t="n"/>
      <c r="L120" s="30" t="n"/>
      <c r="M120" s="31" t="n"/>
      <c r="N120" s="31" t="n"/>
      <c r="O120" s="32" t="n"/>
      <c r="P120" s="33" t="n"/>
      <c r="Q120" s="33" t="n"/>
      <c r="R120" s="27" t="n"/>
      <c r="S120" s="34" t="n"/>
      <c r="T120" s="27" t="n"/>
      <c r="U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</row>
    <row r="121" ht="15.75" customHeight="1">
      <c r="E121" s="27" t="n"/>
      <c r="F121" s="34" t="n"/>
      <c r="G121" s="27" t="n"/>
      <c r="H121" s="27" t="n"/>
      <c r="I121" s="35" t="n"/>
      <c r="J121" s="36" t="n"/>
      <c r="K121" s="36" t="n"/>
      <c r="L121" s="30" t="n"/>
      <c r="M121" s="31" t="n"/>
      <c r="N121" s="31" t="n"/>
      <c r="O121" s="32" t="n"/>
      <c r="P121" s="33" t="n"/>
      <c r="Q121" s="33" t="n"/>
      <c r="R121" s="27" t="n"/>
      <c r="S121" s="34" t="n"/>
      <c r="T121" s="27" t="n"/>
      <c r="U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</row>
    <row r="122" ht="15.75" customHeight="1">
      <c r="E122" s="27" t="n"/>
      <c r="F122" s="34" t="n"/>
      <c r="G122" s="27" t="n"/>
      <c r="H122" s="27" t="n"/>
      <c r="I122" s="35" t="n"/>
      <c r="J122" s="36" t="n"/>
      <c r="K122" s="36" t="n"/>
      <c r="L122" s="30" t="n"/>
      <c r="M122" s="31" t="n"/>
      <c r="N122" s="31" t="n"/>
      <c r="O122" s="32" t="n"/>
      <c r="P122" s="33" t="n"/>
      <c r="Q122" s="33" t="n"/>
      <c r="R122" s="27" t="n"/>
      <c r="S122" s="34" t="n"/>
      <c r="T122" s="27" t="n"/>
      <c r="U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</row>
    <row r="123" ht="15.75" customHeight="1">
      <c r="E123" s="27" t="n"/>
      <c r="F123" s="34" t="n"/>
      <c r="G123" s="27" t="n"/>
      <c r="H123" s="27" t="n"/>
      <c r="I123" s="35" t="n"/>
      <c r="J123" s="36" t="n"/>
      <c r="K123" s="36" t="n"/>
      <c r="L123" s="30" t="n"/>
      <c r="M123" s="31" t="n"/>
      <c r="N123" s="31" t="n"/>
      <c r="O123" s="32" t="n"/>
      <c r="P123" s="33" t="n"/>
      <c r="Q123" s="33" t="n"/>
      <c r="R123" s="27" t="n"/>
      <c r="S123" s="34" t="n"/>
      <c r="T123" s="27" t="n"/>
      <c r="U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</row>
    <row r="124" ht="15.75" customHeight="1">
      <c r="E124" s="27" t="n"/>
      <c r="F124" s="34" t="n"/>
      <c r="G124" s="27" t="n"/>
      <c r="H124" s="27" t="n"/>
      <c r="I124" s="35" t="n"/>
      <c r="J124" s="36" t="n"/>
      <c r="K124" s="36" t="n"/>
      <c r="L124" s="30" t="n"/>
      <c r="M124" s="31" t="n"/>
      <c r="N124" s="31" t="n"/>
      <c r="O124" s="32" t="n"/>
      <c r="P124" s="33" t="n"/>
      <c r="Q124" s="33" t="n"/>
      <c r="R124" s="27" t="n"/>
      <c r="S124" s="34" t="n"/>
      <c r="T124" s="27" t="n"/>
      <c r="U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  <c r="AF124" s="27" t="n"/>
      <c r="AG124" s="27" t="n"/>
      <c r="AH124" s="27" t="n"/>
    </row>
    <row r="125" ht="15.75" customHeight="1">
      <c r="E125" s="27" t="n"/>
      <c r="F125" s="34" t="n"/>
      <c r="G125" s="27" t="n"/>
      <c r="H125" s="27" t="n"/>
      <c r="I125" s="35" t="n"/>
      <c r="J125" s="36" t="n"/>
      <c r="K125" s="36" t="n"/>
      <c r="L125" s="30" t="n"/>
      <c r="M125" s="31" t="n"/>
      <c r="N125" s="31" t="n"/>
      <c r="O125" s="32" t="n"/>
      <c r="P125" s="33" t="n"/>
      <c r="Q125" s="33" t="n"/>
      <c r="R125" s="27" t="n"/>
      <c r="S125" s="34" t="n"/>
      <c r="T125" s="27" t="n"/>
      <c r="U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  <c r="AF125" s="27" t="n"/>
      <c r="AG125" s="27" t="n"/>
      <c r="AH125" s="27" t="n"/>
    </row>
    <row r="126" ht="15.75" customHeight="1">
      <c r="E126" s="27" t="n"/>
      <c r="F126" s="34" t="n"/>
      <c r="G126" s="27" t="n"/>
      <c r="H126" s="27" t="n"/>
      <c r="I126" s="35" t="n"/>
      <c r="J126" s="36" t="n"/>
      <c r="K126" s="36" t="n"/>
      <c r="L126" s="30" t="n"/>
      <c r="M126" s="31" t="n"/>
      <c r="N126" s="31" t="n"/>
      <c r="O126" s="32" t="n"/>
      <c r="P126" s="33" t="n"/>
      <c r="Q126" s="33" t="n"/>
      <c r="R126" s="27" t="n"/>
      <c r="S126" s="34" t="n"/>
      <c r="T126" s="27" t="n"/>
      <c r="U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  <c r="AF126" s="27" t="n"/>
      <c r="AG126" s="27" t="n"/>
      <c r="AH126" s="27" t="n"/>
    </row>
    <row r="127" ht="15.75" customHeight="1">
      <c r="E127" s="27" t="n"/>
      <c r="F127" s="34" t="n"/>
      <c r="G127" s="27" t="n"/>
      <c r="H127" s="27" t="n"/>
      <c r="I127" s="35" t="n"/>
      <c r="J127" s="36" t="n"/>
      <c r="K127" s="36" t="n"/>
      <c r="L127" s="30" t="n"/>
      <c r="M127" s="31" t="n"/>
      <c r="N127" s="31" t="n"/>
      <c r="O127" s="32" t="n"/>
      <c r="P127" s="33" t="n"/>
      <c r="Q127" s="33" t="n"/>
      <c r="R127" s="27" t="n"/>
      <c r="S127" s="34" t="n"/>
      <c r="T127" s="27" t="n"/>
      <c r="U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</row>
    <row r="128" ht="15.75" customHeight="1">
      <c r="E128" s="27" t="n"/>
      <c r="F128" s="34" t="n"/>
      <c r="G128" s="27" t="n"/>
      <c r="H128" s="27" t="n"/>
      <c r="I128" s="35" t="n"/>
      <c r="J128" s="36" t="n"/>
      <c r="K128" s="36" t="n"/>
      <c r="L128" s="30" t="n"/>
      <c r="M128" s="31" t="n"/>
      <c r="N128" s="31" t="n"/>
      <c r="O128" s="32" t="n"/>
      <c r="P128" s="33" t="n"/>
      <c r="Q128" s="33" t="n"/>
      <c r="R128" s="27" t="n"/>
      <c r="S128" s="34" t="n"/>
      <c r="T128" s="27" t="n"/>
      <c r="U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</row>
    <row r="129" ht="15.75" customHeight="1">
      <c r="E129" s="27" t="n"/>
      <c r="F129" s="34" t="n"/>
      <c r="G129" s="27" t="n"/>
      <c r="H129" s="27" t="n"/>
      <c r="I129" s="35" t="n"/>
      <c r="J129" s="36" t="n"/>
      <c r="K129" s="36" t="n"/>
      <c r="L129" s="30" t="n"/>
      <c r="M129" s="31" t="n"/>
      <c r="N129" s="31" t="n"/>
      <c r="O129" s="32" t="n"/>
      <c r="P129" s="33" t="n"/>
      <c r="Q129" s="33" t="n"/>
      <c r="R129" s="27" t="n"/>
      <c r="S129" s="34" t="n"/>
      <c r="T129" s="27" t="n"/>
      <c r="U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  <c r="AF129" s="27" t="n"/>
      <c r="AG129" s="27" t="n"/>
      <c r="AH129" s="27" t="n"/>
    </row>
    <row r="130" ht="15.75" customHeight="1">
      <c r="E130" s="27" t="n"/>
      <c r="F130" s="34" t="n"/>
      <c r="G130" s="27" t="n"/>
      <c r="H130" s="27" t="n"/>
      <c r="I130" s="35" t="n"/>
      <c r="J130" s="36" t="n"/>
      <c r="K130" s="36" t="n"/>
      <c r="L130" s="30" t="n"/>
      <c r="M130" s="31" t="n"/>
      <c r="N130" s="31" t="n"/>
      <c r="O130" s="32" t="n"/>
      <c r="P130" s="33" t="n"/>
      <c r="Q130" s="33" t="n"/>
      <c r="R130" s="27" t="n"/>
      <c r="S130" s="34" t="n"/>
      <c r="T130" s="27" t="n"/>
      <c r="U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</row>
    <row r="131" ht="15.75" customHeight="1">
      <c r="E131" s="27" t="n"/>
      <c r="F131" s="34" t="n"/>
      <c r="G131" s="27" t="n"/>
      <c r="H131" s="27" t="n"/>
      <c r="I131" s="35" t="n"/>
      <c r="J131" s="36" t="n"/>
      <c r="K131" s="36" t="n"/>
      <c r="L131" s="30" t="n"/>
      <c r="M131" s="31" t="n"/>
      <c r="N131" s="31" t="n"/>
      <c r="O131" s="32" t="n"/>
      <c r="P131" s="33" t="n"/>
      <c r="Q131" s="33" t="n"/>
      <c r="R131" s="27" t="n"/>
      <c r="S131" s="34" t="n"/>
      <c r="T131" s="27" t="n"/>
      <c r="U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</row>
    <row r="132" ht="15.75" customHeight="1">
      <c r="E132" s="27" t="n"/>
      <c r="F132" s="34" t="n"/>
      <c r="G132" s="27" t="n"/>
      <c r="H132" s="27" t="n"/>
      <c r="I132" s="35" t="n"/>
      <c r="J132" s="36" t="n"/>
      <c r="K132" s="36" t="n"/>
      <c r="L132" s="30" t="n"/>
      <c r="M132" s="31" t="n"/>
      <c r="N132" s="31" t="n"/>
      <c r="O132" s="32" t="n"/>
      <c r="P132" s="33" t="n"/>
      <c r="Q132" s="33" t="n"/>
      <c r="R132" s="27" t="n"/>
      <c r="S132" s="34" t="n"/>
      <c r="T132" s="27" t="n"/>
      <c r="U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</row>
    <row r="133" ht="15.75" customHeight="1">
      <c r="E133" s="27" t="n"/>
      <c r="F133" s="34" t="n"/>
      <c r="G133" s="27" t="n"/>
      <c r="H133" s="27" t="n"/>
      <c r="I133" s="35" t="n"/>
      <c r="J133" s="36" t="n"/>
      <c r="K133" s="36" t="n"/>
      <c r="L133" s="30" t="n"/>
      <c r="M133" s="31" t="n"/>
      <c r="N133" s="31" t="n"/>
      <c r="O133" s="32" t="n"/>
      <c r="P133" s="33" t="n"/>
      <c r="Q133" s="33" t="n"/>
      <c r="R133" s="27" t="n"/>
      <c r="S133" s="34" t="n"/>
      <c r="T133" s="27" t="n"/>
      <c r="U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</row>
    <row r="134" ht="15.75" customHeight="1">
      <c r="E134" s="27" t="n"/>
      <c r="F134" s="34" t="n"/>
      <c r="G134" s="27" t="n"/>
      <c r="H134" s="27" t="n"/>
      <c r="I134" s="35" t="n"/>
      <c r="J134" s="36" t="n"/>
      <c r="K134" s="36" t="n"/>
      <c r="L134" s="30" t="n"/>
      <c r="M134" s="31" t="n"/>
      <c r="N134" s="31" t="n"/>
      <c r="O134" s="32" t="n"/>
      <c r="P134" s="33" t="n"/>
      <c r="Q134" s="33" t="n"/>
      <c r="R134" s="27" t="n"/>
      <c r="S134" s="34" t="n"/>
      <c r="T134" s="27" t="n"/>
      <c r="U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</row>
    <row r="135" ht="15.75" customHeight="1">
      <c r="E135" s="27" t="n"/>
      <c r="F135" s="34" t="n"/>
      <c r="G135" s="27" t="n"/>
      <c r="H135" s="27" t="n"/>
      <c r="I135" s="35" t="n"/>
      <c r="J135" s="36" t="n"/>
      <c r="K135" s="36" t="n"/>
      <c r="L135" s="30" t="n"/>
      <c r="M135" s="31" t="n"/>
      <c r="N135" s="31" t="n"/>
      <c r="O135" s="32" t="n"/>
      <c r="P135" s="33" t="n"/>
      <c r="Q135" s="33" t="n"/>
      <c r="R135" s="27" t="n"/>
      <c r="S135" s="34" t="n"/>
      <c r="T135" s="27" t="n"/>
      <c r="U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  <c r="AF135" s="27" t="n"/>
      <c r="AG135" s="27" t="n"/>
      <c r="AH135" s="27" t="n"/>
    </row>
    <row r="136" ht="15.75" customHeight="1">
      <c r="E136" s="27" t="n"/>
      <c r="F136" s="34" t="n"/>
      <c r="G136" s="27" t="n"/>
      <c r="H136" s="27" t="n"/>
      <c r="I136" s="35" t="n"/>
      <c r="J136" s="36" t="n"/>
      <c r="K136" s="36" t="n"/>
      <c r="L136" s="30" t="n"/>
      <c r="M136" s="31" t="n"/>
      <c r="N136" s="31" t="n"/>
      <c r="O136" s="32" t="n"/>
      <c r="P136" s="33" t="n"/>
      <c r="Q136" s="33" t="n"/>
      <c r="R136" s="27" t="n"/>
      <c r="S136" s="34" t="n"/>
      <c r="T136" s="27" t="n"/>
      <c r="U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  <c r="AF136" s="27" t="n"/>
      <c r="AG136" s="27" t="n"/>
      <c r="AH136" s="27" t="n"/>
    </row>
    <row r="137" ht="15.75" customHeight="1">
      <c r="E137" s="27" t="n"/>
      <c r="F137" s="34" t="n"/>
      <c r="G137" s="27" t="n"/>
      <c r="H137" s="27" t="n"/>
      <c r="I137" s="35" t="n"/>
      <c r="J137" s="36" t="n"/>
      <c r="K137" s="36" t="n"/>
      <c r="L137" s="30" t="n"/>
      <c r="M137" s="31" t="n"/>
      <c r="N137" s="31" t="n"/>
      <c r="O137" s="32" t="n"/>
      <c r="P137" s="33" t="n"/>
      <c r="Q137" s="33" t="n"/>
      <c r="R137" s="27" t="n"/>
      <c r="S137" s="34" t="n"/>
      <c r="T137" s="27" t="n"/>
      <c r="U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  <c r="AF137" s="27" t="n"/>
      <c r="AG137" s="27" t="n"/>
      <c r="AH137" s="27" t="n"/>
    </row>
    <row r="138" ht="15.75" customHeight="1">
      <c r="E138" s="27" t="n"/>
      <c r="F138" s="34" t="n"/>
      <c r="G138" s="27" t="n"/>
      <c r="H138" s="27" t="n"/>
      <c r="I138" s="35" t="n"/>
      <c r="J138" s="36" t="n"/>
      <c r="K138" s="36" t="n"/>
      <c r="L138" s="30" t="n"/>
      <c r="M138" s="31" t="n"/>
      <c r="N138" s="31" t="n"/>
      <c r="O138" s="32" t="n"/>
      <c r="P138" s="33" t="n"/>
      <c r="Q138" s="33" t="n"/>
      <c r="R138" s="27" t="n"/>
      <c r="S138" s="34" t="n"/>
      <c r="T138" s="27" t="n"/>
      <c r="U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  <c r="AF138" s="27" t="n"/>
      <c r="AG138" s="27" t="n"/>
      <c r="AH138" s="27" t="n"/>
    </row>
    <row r="139" ht="15.75" customHeight="1">
      <c r="E139" s="27" t="n"/>
      <c r="F139" s="34" t="n"/>
      <c r="G139" s="27" t="n"/>
      <c r="H139" s="27" t="n"/>
      <c r="I139" s="35" t="n"/>
      <c r="J139" s="36" t="n"/>
      <c r="K139" s="36" t="n"/>
      <c r="L139" s="30" t="n"/>
      <c r="M139" s="31" t="n"/>
      <c r="N139" s="31" t="n"/>
      <c r="O139" s="32" t="n"/>
      <c r="P139" s="33" t="n"/>
      <c r="Q139" s="33" t="n"/>
      <c r="R139" s="27" t="n"/>
      <c r="S139" s="34" t="n"/>
      <c r="T139" s="27" t="n"/>
      <c r="U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</row>
    <row r="140" ht="15.75" customHeight="1">
      <c r="E140" s="27" t="n"/>
      <c r="F140" s="34" t="n"/>
      <c r="G140" s="27" t="n"/>
      <c r="H140" s="27" t="n"/>
      <c r="I140" s="35" t="n"/>
      <c r="J140" s="36" t="n"/>
      <c r="K140" s="36" t="n"/>
      <c r="L140" s="30" t="n"/>
      <c r="M140" s="31" t="n"/>
      <c r="N140" s="31" t="n"/>
      <c r="O140" s="32" t="n"/>
      <c r="P140" s="33" t="n"/>
      <c r="Q140" s="33" t="n"/>
      <c r="R140" s="27" t="n"/>
      <c r="S140" s="34" t="n"/>
      <c r="T140" s="27" t="n"/>
      <c r="U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</row>
    <row r="141" ht="15.75" customHeight="1">
      <c r="E141" s="27" t="n"/>
      <c r="F141" s="34" t="n"/>
      <c r="G141" s="27" t="n"/>
      <c r="H141" s="27" t="n"/>
      <c r="I141" s="35" t="n"/>
      <c r="J141" s="36" t="n"/>
      <c r="K141" s="36" t="n"/>
      <c r="L141" s="30" t="n"/>
      <c r="M141" s="31" t="n"/>
      <c r="N141" s="31" t="n"/>
      <c r="O141" s="32" t="n"/>
      <c r="P141" s="33" t="n"/>
      <c r="Q141" s="33" t="n"/>
      <c r="R141" s="27" t="n"/>
      <c r="S141" s="34" t="n"/>
      <c r="T141" s="27" t="n"/>
      <c r="U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</row>
    <row r="142" ht="15.75" customHeight="1">
      <c r="E142" s="27" t="n"/>
      <c r="F142" s="34" t="n"/>
      <c r="G142" s="27" t="n"/>
      <c r="H142" s="27" t="n"/>
      <c r="I142" s="35" t="n"/>
      <c r="J142" s="36" t="n"/>
      <c r="K142" s="36" t="n"/>
      <c r="L142" s="30" t="n"/>
      <c r="M142" s="31" t="n"/>
      <c r="N142" s="31" t="n"/>
      <c r="O142" s="32" t="n"/>
      <c r="P142" s="33" t="n"/>
      <c r="Q142" s="33" t="n"/>
      <c r="R142" s="27" t="n"/>
      <c r="S142" s="34" t="n"/>
      <c r="T142" s="27" t="n"/>
      <c r="U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7" t="n"/>
      <c r="AH142" s="27" t="n"/>
    </row>
    <row r="143" ht="15.75" customHeight="1">
      <c r="E143" s="27" t="n"/>
      <c r="F143" s="34" t="n"/>
      <c r="G143" s="27" t="n"/>
      <c r="H143" s="27" t="n"/>
      <c r="I143" s="35" t="n"/>
      <c r="J143" s="36" t="n"/>
      <c r="K143" s="36" t="n"/>
      <c r="L143" s="30" t="n"/>
      <c r="M143" s="31" t="n"/>
      <c r="N143" s="31" t="n"/>
      <c r="O143" s="32" t="n"/>
      <c r="P143" s="33" t="n"/>
      <c r="Q143" s="33" t="n"/>
      <c r="R143" s="27" t="n"/>
      <c r="S143" s="34" t="n"/>
      <c r="T143" s="27" t="n"/>
      <c r="U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</row>
    <row r="144" ht="15.75" customHeight="1">
      <c r="E144" s="27" t="n"/>
      <c r="F144" s="34" t="n"/>
      <c r="G144" s="27" t="n"/>
      <c r="H144" s="27" t="n"/>
      <c r="I144" s="35" t="n"/>
      <c r="J144" s="36" t="n"/>
      <c r="K144" s="36" t="n"/>
      <c r="L144" s="30" t="n"/>
      <c r="M144" s="31" t="n"/>
      <c r="N144" s="31" t="n"/>
      <c r="O144" s="32" t="n"/>
      <c r="P144" s="33" t="n"/>
      <c r="Q144" s="33" t="n"/>
      <c r="R144" s="27" t="n"/>
      <c r="S144" s="34" t="n"/>
      <c r="T144" s="27" t="n"/>
      <c r="U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</row>
    <row r="145" ht="15.75" customHeight="1">
      <c r="E145" s="27" t="n"/>
      <c r="F145" s="34" t="n"/>
      <c r="G145" s="27" t="n"/>
      <c r="H145" s="27" t="n"/>
      <c r="I145" s="35" t="n"/>
      <c r="J145" s="36" t="n"/>
      <c r="K145" s="36" t="n"/>
      <c r="L145" s="30" t="n"/>
      <c r="M145" s="31" t="n"/>
      <c r="N145" s="31" t="n"/>
      <c r="O145" s="32" t="n"/>
      <c r="P145" s="33" t="n"/>
      <c r="Q145" s="33" t="n"/>
      <c r="R145" s="27" t="n"/>
      <c r="S145" s="34" t="n"/>
      <c r="T145" s="27" t="n"/>
      <c r="U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  <c r="AF145" s="27" t="n"/>
      <c r="AG145" s="27" t="n"/>
      <c r="AH145" s="27" t="n"/>
    </row>
    <row r="146" ht="15.75" customHeight="1">
      <c r="E146" s="27" t="n"/>
      <c r="F146" s="34" t="n"/>
      <c r="G146" s="27" t="n"/>
      <c r="H146" s="27" t="n"/>
      <c r="I146" s="35" t="n"/>
      <c r="J146" s="36" t="n"/>
      <c r="K146" s="36" t="n"/>
      <c r="L146" s="30" t="n"/>
      <c r="M146" s="31" t="n"/>
      <c r="N146" s="31" t="n"/>
      <c r="O146" s="32" t="n"/>
      <c r="P146" s="33" t="n"/>
      <c r="Q146" s="33" t="n"/>
      <c r="R146" s="27" t="n"/>
      <c r="S146" s="34" t="n"/>
      <c r="T146" s="27" t="n"/>
      <c r="U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  <c r="AF146" s="27" t="n"/>
      <c r="AG146" s="27" t="n"/>
      <c r="AH146" s="27" t="n"/>
    </row>
    <row r="147" ht="15.75" customHeight="1">
      <c r="E147" s="27" t="n"/>
      <c r="F147" s="34" t="n"/>
      <c r="G147" s="27" t="n"/>
      <c r="H147" s="27" t="n"/>
      <c r="I147" s="35" t="n"/>
      <c r="J147" s="36" t="n"/>
      <c r="K147" s="36" t="n"/>
      <c r="L147" s="30" t="n"/>
      <c r="M147" s="31" t="n"/>
      <c r="N147" s="31" t="n"/>
      <c r="O147" s="32" t="n"/>
      <c r="P147" s="33" t="n"/>
      <c r="Q147" s="33" t="n"/>
      <c r="R147" s="27" t="n"/>
      <c r="S147" s="34" t="n"/>
      <c r="T147" s="27" t="n"/>
      <c r="U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  <c r="AF147" s="27" t="n"/>
      <c r="AG147" s="27" t="n"/>
      <c r="AH147" s="27" t="n"/>
    </row>
    <row r="148" ht="15.75" customHeight="1">
      <c r="E148" s="27" t="n"/>
      <c r="F148" s="34" t="n"/>
      <c r="G148" s="27" t="n"/>
      <c r="H148" s="27" t="n"/>
      <c r="I148" s="35" t="n"/>
      <c r="J148" s="36" t="n"/>
      <c r="K148" s="36" t="n"/>
      <c r="L148" s="30" t="n"/>
      <c r="M148" s="31" t="n"/>
      <c r="N148" s="31" t="n"/>
      <c r="O148" s="32" t="n"/>
      <c r="P148" s="33" t="n"/>
      <c r="Q148" s="33" t="n"/>
      <c r="R148" s="27" t="n"/>
      <c r="S148" s="34" t="n"/>
      <c r="T148" s="27" t="n"/>
      <c r="U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  <c r="AF148" s="27" t="n"/>
      <c r="AG148" s="27" t="n"/>
      <c r="AH148" s="27" t="n"/>
    </row>
    <row r="149" ht="15.75" customHeight="1">
      <c r="E149" s="27" t="n"/>
      <c r="F149" s="34" t="n"/>
      <c r="G149" s="27" t="n"/>
      <c r="H149" s="27" t="n"/>
      <c r="I149" s="35" t="n"/>
      <c r="J149" s="36" t="n"/>
      <c r="K149" s="36" t="n"/>
      <c r="L149" s="30" t="n"/>
      <c r="M149" s="31" t="n"/>
      <c r="N149" s="31" t="n"/>
      <c r="O149" s="32" t="n"/>
      <c r="P149" s="33" t="n"/>
      <c r="Q149" s="33" t="n"/>
      <c r="R149" s="27" t="n"/>
      <c r="S149" s="34" t="n"/>
      <c r="T149" s="27" t="n"/>
      <c r="U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</row>
    <row r="150" ht="15.75" customHeight="1">
      <c r="E150" s="27" t="n"/>
      <c r="F150" s="34" t="n"/>
      <c r="G150" s="27" t="n"/>
      <c r="H150" s="27" t="n"/>
      <c r="I150" s="35" t="n"/>
      <c r="J150" s="36" t="n"/>
      <c r="K150" s="36" t="n"/>
      <c r="L150" s="30" t="n"/>
      <c r="M150" s="31" t="n"/>
      <c r="N150" s="31" t="n"/>
      <c r="O150" s="32" t="n"/>
      <c r="P150" s="33" t="n"/>
      <c r="Q150" s="33" t="n"/>
      <c r="R150" s="27" t="n"/>
      <c r="S150" s="34" t="n"/>
      <c r="T150" s="27" t="n"/>
      <c r="U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</row>
    <row r="151" ht="15.75" customHeight="1">
      <c r="E151" s="27" t="n"/>
      <c r="F151" s="34" t="n"/>
      <c r="G151" s="27" t="n"/>
      <c r="H151" s="27" t="n"/>
      <c r="I151" s="35" t="n"/>
      <c r="J151" s="36" t="n"/>
      <c r="K151" s="36" t="n"/>
      <c r="L151" s="30" t="n"/>
      <c r="M151" s="31" t="n"/>
      <c r="N151" s="31" t="n"/>
      <c r="O151" s="32" t="n"/>
      <c r="P151" s="33" t="n"/>
      <c r="Q151" s="33" t="n"/>
      <c r="R151" s="27" t="n"/>
      <c r="S151" s="34" t="n"/>
      <c r="T151" s="27" t="n"/>
      <c r="U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</row>
    <row r="152" ht="15.75" customHeight="1">
      <c r="E152" s="27" t="n"/>
      <c r="F152" s="34" t="n"/>
      <c r="G152" s="27" t="n"/>
      <c r="H152" s="27" t="n"/>
      <c r="I152" s="35" t="n"/>
      <c r="J152" s="36" t="n"/>
      <c r="K152" s="36" t="n"/>
      <c r="L152" s="30" t="n"/>
      <c r="M152" s="31" t="n"/>
      <c r="N152" s="31" t="n"/>
      <c r="O152" s="32" t="n"/>
      <c r="P152" s="33" t="n"/>
      <c r="Q152" s="33" t="n"/>
      <c r="R152" s="27" t="n"/>
      <c r="S152" s="34" t="n"/>
      <c r="T152" s="27" t="n"/>
      <c r="U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</row>
    <row r="153" ht="15.75" customHeight="1">
      <c r="E153" s="27" t="n"/>
      <c r="F153" s="34" t="n"/>
      <c r="G153" s="27" t="n"/>
      <c r="H153" s="27" t="n"/>
      <c r="I153" s="35" t="n"/>
      <c r="J153" s="36" t="n"/>
      <c r="K153" s="36" t="n"/>
      <c r="L153" s="30" t="n"/>
      <c r="M153" s="31" t="n"/>
      <c r="N153" s="31" t="n"/>
      <c r="O153" s="32" t="n"/>
      <c r="P153" s="33" t="n"/>
      <c r="Q153" s="33" t="n"/>
      <c r="R153" s="27" t="n"/>
      <c r="S153" s="34" t="n"/>
      <c r="T153" s="27" t="n"/>
      <c r="U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</row>
    <row r="154" ht="15.75" customHeight="1">
      <c r="E154" s="27" t="n"/>
      <c r="F154" s="34" t="n"/>
      <c r="G154" s="27" t="n"/>
      <c r="H154" s="27" t="n"/>
      <c r="I154" s="35" t="n"/>
      <c r="J154" s="36" t="n"/>
      <c r="K154" s="36" t="n"/>
      <c r="L154" s="30" t="n"/>
      <c r="M154" s="31" t="n"/>
      <c r="N154" s="31" t="n"/>
      <c r="O154" s="32" t="n"/>
      <c r="P154" s="33" t="n"/>
      <c r="Q154" s="33" t="n"/>
      <c r="R154" s="27" t="n"/>
      <c r="S154" s="34" t="n"/>
      <c r="T154" s="27" t="n"/>
      <c r="U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</row>
    <row r="155" ht="15.75" customHeight="1">
      <c r="E155" s="27" t="n"/>
      <c r="F155" s="34" t="n"/>
      <c r="G155" s="27" t="n"/>
      <c r="H155" s="27" t="n"/>
      <c r="I155" s="35" t="n"/>
      <c r="J155" s="36" t="n"/>
      <c r="K155" s="36" t="n"/>
      <c r="L155" s="30" t="n"/>
      <c r="M155" s="31" t="n"/>
      <c r="N155" s="31" t="n"/>
      <c r="O155" s="32" t="n"/>
      <c r="P155" s="33" t="n"/>
      <c r="Q155" s="33" t="n"/>
      <c r="R155" s="27" t="n"/>
      <c r="S155" s="34" t="n"/>
      <c r="T155" s="27" t="n"/>
      <c r="U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</row>
    <row r="156" ht="15.75" customHeight="1">
      <c r="E156" s="27" t="n"/>
      <c r="F156" s="34" t="n"/>
      <c r="G156" s="27" t="n"/>
      <c r="H156" s="27" t="n"/>
      <c r="I156" s="35" t="n"/>
      <c r="J156" s="36" t="n"/>
      <c r="K156" s="36" t="n"/>
      <c r="L156" s="30" t="n"/>
      <c r="M156" s="31" t="n"/>
      <c r="N156" s="31" t="n"/>
      <c r="O156" s="32" t="n"/>
      <c r="P156" s="33" t="n"/>
      <c r="Q156" s="33" t="n"/>
      <c r="R156" s="27" t="n"/>
      <c r="S156" s="34" t="n"/>
      <c r="T156" s="27" t="n"/>
      <c r="U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</row>
    <row r="157" ht="15.75" customHeight="1">
      <c r="E157" s="27" t="n"/>
      <c r="F157" s="34" t="n"/>
      <c r="G157" s="27" t="n"/>
      <c r="H157" s="27" t="n"/>
      <c r="I157" s="35" t="n"/>
      <c r="J157" s="36" t="n"/>
      <c r="K157" s="36" t="n"/>
      <c r="L157" s="30" t="n"/>
      <c r="M157" s="31" t="n"/>
      <c r="N157" s="31" t="n"/>
      <c r="O157" s="32" t="n"/>
      <c r="P157" s="33" t="n"/>
      <c r="Q157" s="33" t="n"/>
      <c r="R157" s="27" t="n"/>
      <c r="S157" s="34" t="n"/>
      <c r="T157" s="27" t="n"/>
      <c r="U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  <c r="AF157" s="27" t="n"/>
      <c r="AG157" s="27" t="n"/>
      <c r="AH157" s="27" t="n"/>
    </row>
    <row r="158" ht="15.75" customHeight="1">
      <c r="E158" s="27" t="n"/>
      <c r="F158" s="34" t="n"/>
      <c r="G158" s="27" t="n"/>
      <c r="H158" s="27" t="n"/>
      <c r="I158" s="35" t="n"/>
      <c r="J158" s="36" t="n"/>
      <c r="K158" s="36" t="n"/>
      <c r="L158" s="30" t="n"/>
      <c r="M158" s="31" t="n"/>
      <c r="N158" s="31" t="n"/>
      <c r="O158" s="32" t="n"/>
      <c r="P158" s="33" t="n"/>
      <c r="Q158" s="33" t="n"/>
      <c r="R158" s="27" t="n"/>
      <c r="S158" s="34" t="n"/>
      <c r="T158" s="27" t="n"/>
      <c r="U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  <c r="AF158" s="27" t="n"/>
      <c r="AG158" s="27" t="n"/>
      <c r="AH158" s="27" t="n"/>
    </row>
    <row r="159" ht="15.75" customHeight="1">
      <c r="E159" s="27" t="n"/>
      <c r="F159" s="34" t="n"/>
      <c r="G159" s="27" t="n"/>
      <c r="H159" s="27" t="n"/>
      <c r="I159" s="35" t="n"/>
      <c r="J159" s="36" t="n"/>
      <c r="K159" s="36" t="n"/>
      <c r="L159" s="30" t="n"/>
      <c r="M159" s="31" t="n"/>
      <c r="N159" s="31" t="n"/>
      <c r="O159" s="32" t="n"/>
      <c r="P159" s="33" t="n"/>
      <c r="Q159" s="33" t="n"/>
      <c r="R159" s="27" t="n"/>
      <c r="S159" s="34" t="n"/>
      <c r="T159" s="27" t="n"/>
      <c r="U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</row>
    <row r="160" ht="15.75" customHeight="1">
      <c r="E160" s="27" t="n"/>
      <c r="F160" s="34" t="n"/>
      <c r="G160" s="27" t="n"/>
      <c r="H160" s="27" t="n"/>
      <c r="I160" s="35" t="n"/>
      <c r="J160" s="36" t="n"/>
      <c r="K160" s="36" t="n"/>
      <c r="L160" s="30" t="n"/>
      <c r="M160" s="31" t="n"/>
      <c r="N160" s="31" t="n"/>
      <c r="O160" s="32" t="n"/>
      <c r="P160" s="33" t="n"/>
      <c r="Q160" s="33" t="n"/>
      <c r="R160" s="27" t="n"/>
      <c r="S160" s="34" t="n"/>
      <c r="T160" s="27" t="n"/>
      <c r="U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</row>
    <row r="161" ht="15.75" customHeight="1">
      <c r="E161" s="27" t="n"/>
      <c r="F161" s="34" t="n"/>
      <c r="G161" s="27" t="n"/>
      <c r="H161" s="27" t="n"/>
      <c r="I161" s="35" t="n"/>
      <c r="J161" s="36" t="n"/>
      <c r="K161" s="36" t="n"/>
      <c r="L161" s="30" t="n"/>
      <c r="M161" s="31" t="n"/>
      <c r="N161" s="31" t="n"/>
      <c r="O161" s="32" t="n"/>
      <c r="P161" s="33" t="n"/>
      <c r="Q161" s="33" t="n"/>
      <c r="R161" s="27" t="n"/>
      <c r="S161" s="34" t="n"/>
      <c r="T161" s="27" t="n"/>
      <c r="U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</row>
    <row r="162" ht="15.75" customHeight="1">
      <c r="E162" s="27" t="n"/>
      <c r="F162" s="34" t="n"/>
      <c r="G162" s="27" t="n"/>
      <c r="H162" s="27" t="n"/>
      <c r="I162" s="35" t="n"/>
      <c r="J162" s="36" t="n"/>
      <c r="K162" s="36" t="n"/>
      <c r="L162" s="30" t="n"/>
      <c r="M162" s="31" t="n"/>
      <c r="N162" s="31" t="n"/>
      <c r="O162" s="32" t="n"/>
      <c r="P162" s="33" t="n"/>
      <c r="Q162" s="33" t="n"/>
      <c r="R162" s="27" t="n"/>
      <c r="S162" s="34" t="n"/>
      <c r="T162" s="27" t="n"/>
      <c r="U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</row>
    <row r="163" ht="15.75" customHeight="1">
      <c r="E163" s="27" t="n"/>
      <c r="F163" s="34" t="n"/>
      <c r="G163" s="27" t="n"/>
      <c r="H163" s="27" t="n"/>
      <c r="I163" s="35" t="n"/>
      <c r="J163" s="36" t="n"/>
      <c r="K163" s="36" t="n"/>
      <c r="L163" s="30" t="n"/>
      <c r="M163" s="31" t="n"/>
      <c r="N163" s="31" t="n"/>
      <c r="O163" s="32" t="n"/>
      <c r="P163" s="33" t="n"/>
      <c r="Q163" s="33" t="n"/>
      <c r="R163" s="27" t="n"/>
      <c r="S163" s="34" t="n"/>
      <c r="T163" s="27" t="n"/>
      <c r="U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</row>
    <row r="164" ht="15.75" customHeight="1">
      <c r="E164" s="27" t="n"/>
      <c r="F164" s="34" t="n"/>
      <c r="G164" s="27" t="n"/>
      <c r="H164" s="27" t="n"/>
      <c r="I164" s="35" t="n"/>
      <c r="J164" s="36" t="n"/>
      <c r="K164" s="36" t="n"/>
      <c r="L164" s="30" t="n"/>
      <c r="M164" s="31" t="n"/>
      <c r="N164" s="31" t="n"/>
      <c r="O164" s="32" t="n"/>
      <c r="P164" s="33" t="n"/>
      <c r="Q164" s="33" t="n"/>
      <c r="R164" s="27" t="n"/>
      <c r="S164" s="34" t="n"/>
      <c r="T164" s="27" t="n"/>
      <c r="U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</row>
    <row r="165" ht="15.75" customHeight="1">
      <c r="E165" s="27" t="n"/>
      <c r="F165" s="34" t="n"/>
      <c r="G165" s="27" t="n"/>
      <c r="H165" s="27" t="n"/>
      <c r="I165" s="35" t="n"/>
      <c r="J165" s="36" t="n"/>
      <c r="K165" s="36" t="n"/>
      <c r="L165" s="30" t="n"/>
      <c r="M165" s="31" t="n"/>
      <c r="N165" s="31" t="n"/>
      <c r="O165" s="32" t="n"/>
      <c r="P165" s="33" t="n"/>
      <c r="Q165" s="33" t="n"/>
      <c r="R165" s="27" t="n"/>
      <c r="S165" s="34" t="n"/>
      <c r="T165" s="27" t="n"/>
      <c r="U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</row>
    <row r="166" ht="15.75" customHeight="1">
      <c r="E166" s="27" t="n"/>
      <c r="F166" s="34" t="n"/>
      <c r="G166" s="27" t="n"/>
      <c r="H166" s="27" t="n"/>
      <c r="I166" s="35" t="n"/>
      <c r="J166" s="36" t="n"/>
      <c r="K166" s="36" t="n"/>
      <c r="L166" s="30" t="n"/>
      <c r="M166" s="31" t="n"/>
      <c r="N166" s="31" t="n"/>
      <c r="O166" s="32" t="n"/>
      <c r="P166" s="33" t="n"/>
      <c r="Q166" s="33" t="n"/>
      <c r="R166" s="27" t="n"/>
      <c r="S166" s="34" t="n"/>
      <c r="T166" s="27" t="n"/>
      <c r="U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</row>
    <row r="167" ht="15.75" customHeight="1">
      <c r="E167" s="27" t="n"/>
      <c r="F167" s="34" t="n"/>
      <c r="G167" s="27" t="n"/>
      <c r="H167" s="27" t="n"/>
      <c r="I167" s="35" t="n"/>
      <c r="J167" s="36" t="n"/>
      <c r="K167" s="36" t="n"/>
      <c r="L167" s="30" t="n"/>
      <c r="M167" s="31" t="n"/>
      <c r="N167" s="31" t="n"/>
      <c r="O167" s="32" t="n"/>
      <c r="P167" s="33" t="n"/>
      <c r="Q167" s="33" t="n"/>
      <c r="R167" s="27" t="n"/>
      <c r="S167" s="34" t="n"/>
      <c r="T167" s="27" t="n"/>
      <c r="U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</row>
    <row r="168" ht="15.75" customHeight="1">
      <c r="E168" s="27" t="n"/>
      <c r="F168" s="34" t="n"/>
      <c r="G168" s="27" t="n"/>
      <c r="H168" s="27" t="n"/>
      <c r="I168" s="35" t="n"/>
      <c r="J168" s="36" t="n"/>
      <c r="K168" s="36" t="n"/>
      <c r="L168" s="30" t="n"/>
      <c r="M168" s="31" t="n"/>
      <c r="N168" s="31" t="n"/>
      <c r="O168" s="32" t="n"/>
      <c r="P168" s="33" t="n"/>
      <c r="Q168" s="33" t="n"/>
      <c r="R168" s="27" t="n"/>
      <c r="S168" s="34" t="n"/>
      <c r="T168" s="27" t="n"/>
      <c r="U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  <c r="AF168" s="27" t="n"/>
      <c r="AG168" s="27" t="n"/>
      <c r="AH168" s="27" t="n"/>
    </row>
    <row r="169" ht="15.75" customHeight="1">
      <c r="E169" s="27" t="n"/>
      <c r="F169" s="34" t="n"/>
      <c r="G169" s="27" t="n"/>
      <c r="H169" s="27" t="n"/>
      <c r="I169" s="35" t="n"/>
      <c r="J169" s="36" t="n"/>
      <c r="K169" s="36" t="n"/>
      <c r="L169" s="30" t="n"/>
      <c r="M169" s="31" t="n"/>
      <c r="N169" s="31" t="n"/>
      <c r="O169" s="32" t="n"/>
      <c r="P169" s="33" t="n"/>
      <c r="Q169" s="33" t="n"/>
      <c r="R169" s="27" t="n"/>
      <c r="S169" s="34" t="n"/>
      <c r="T169" s="27" t="n"/>
      <c r="U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  <c r="AF169" s="27" t="n"/>
      <c r="AG169" s="27" t="n"/>
      <c r="AH169" s="27" t="n"/>
    </row>
    <row r="170" ht="15.75" customHeight="1">
      <c r="E170" s="27" t="n"/>
      <c r="F170" s="34" t="n"/>
      <c r="G170" s="27" t="n"/>
      <c r="H170" s="27" t="n"/>
      <c r="I170" s="35" t="n"/>
      <c r="J170" s="36" t="n"/>
      <c r="K170" s="36" t="n"/>
      <c r="L170" s="30" t="n"/>
      <c r="M170" s="31" t="n"/>
      <c r="N170" s="31" t="n"/>
      <c r="O170" s="32" t="n"/>
      <c r="P170" s="33" t="n"/>
      <c r="Q170" s="33" t="n"/>
      <c r="R170" s="27" t="n"/>
      <c r="S170" s="34" t="n"/>
      <c r="T170" s="27" t="n"/>
      <c r="U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</row>
    <row r="171" ht="15.75" customHeight="1">
      <c r="E171" s="27" t="n"/>
      <c r="F171" s="34" t="n"/>
      <c r="G171" s="27" t="n"/>
      <c r="H171" s="27" t="n"/>
      <c r="I171" s="35" t="n"/>
      <c r="J171" s="36" t="n"/>
      <c r="K171" s="36" t="n"/>
      <c r="L171" s="30" t="n"/>
      <c r="M171" s="31" t="n"/>
      <c r="N171" s="31" t="n"/>
      <c r="O171" s="32" t="n"/>
      <c r="P171" s="33" t="n"/>
      <c r="Q171" s="33" t="n"/>
      <c r="R171" s="27" t="n"/>
      <c r="S171" s="34" t="n"/>
      <c r="T171" s="27" t="n"/>
      <c r="U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</row>
    <row r="172" ht="15.75" customHeight="1">
      <c r="E172" s="27" t="n"/>
      <c r="F172" s="34" t="n"/>
      <c r="G172" s="27" t="n"/>
      <c r="H172" s="27" t="n"/>
      <c r="I172" s="35" t="n"/>
      <c r="J172" s="36" t="n"/>
      <c r="K172" s="36" t="n"/>
      <c r="L172" s="30" t="n"/>
      <c r="M172" s="31" t="n"/>
      <c r="N172" s="31" t="n"/>
      <c r="O172" s="32" t="n"/>
      <c r="P172" s="33" t="n"/>
      <c r="Q172" s="33" t="n"/>
      <c r="R172" s="27" t="n"/>
      <c r="S172" s="34" t="n"/>
      <c r="T172" s="27" t="n"/>
      <c r="U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</row>
    <row r="173" ht="15.75" customHeight="1">
      <c r="E173" s="27" t="n"/>
      <c r="F173" s="34" t="n"/>
      <c r="G173" s="27" t="n"/>
      <c r="H173" s="27" t="n"/>
      <c r="I173" s="35" t="n"/>
      <c r="J173" s="36" t="n"/>
      <c r="K173" s="36" t="n"/>
      <c r="L173" s="30" t="n"/>
      <c r="M173" s="31" t="n"/>
      <c r="N173" s="31" t="n"/>
      <c r="O173" s="32" t="n"/>
      <c r="P173" s="33" t="n"/>
      <c r="Q173" s="33" t="n"/>
      <c r="R173" s="27" t="n"/>
      <c r="S173" s="34" t="n"/>
      <c r="T173" s="27" t="n"/>
      <c r="U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</row>
    <row r="174" ht="15.75" customHeight="1">
      <c r="E174" s="27" t="n"/>
      <c r="F174" s="34" t="n"/>
      <c r="G174" s="27" t="n"/>
      <c r="H174" s="27" t="n"/>
      <c r="I174" s="35" t="n"/>
      <c r="J174" s="36" t="n"/>
      <c r="K174" s="36" t="n"/>
      <c r="L174" s="30" t="n"/>
      <c r="M174" s="31" t="n"/>
      <c r="N174" s="31" t="n"/>
      <c r="O174" s="32" t="n"/>
      <c r="P174" s="33" t="n"/>
      <c r="Q174" s="33" t="n"/>
      <c r="R174" s="27" t="n"/>
      <c r="S174" s="34" t="n"/>
      <c r="T174" s="27" t="n"/>
      <c r="U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</row>
    <row r="175" ht="15.75" customHeight="1">
      <c r="E175" s="27" t="n"/>
      <c r="F175" s="34" t="n"/>
      <c r="G175" s="27" t="n"/>
      <c r="H175" s="27" t="n"/>
      <c r="I175" s="35" t="n"/>
      <c r="J175" s="36" t="n"/>
      <c r="K175" s="36" t="n"/>
      <c r="L175" s="30" t="n"/>
      <c r="M175" s="31" t="n"/>
      <c r="N175" s="31" t="n"/>
      <c r="O175" s="32" t="n"/>
      <c r="P175" s="33" t="n"/>
      <c r="Q175" s="33" t="n"/>
      <c r="R175" s="27" t="n"/>
      <c r="S175" s="34" t="n"/>
      <c r="T175" s="27" t="n"/>
      <c r="U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</row>
    <row r="176" ht="15.75" customHeight="1">
      <c r="E176" s="27" t="n"/>
      <c r="F176" s="34" t="n"/>
      <c r="G176" s="27" t="n"/>
      <c r="H176" s="27" t="n"/>
      <c r="I176" s="35" t="n"/>
      <c r="J176" s="36" t="n"/>
      <c r="K176" s="36" t="n"/>
      <c r="L176" s="30" t="n"/>
      <c r="M176" s="31" t="n"/>
      <c r="N176" s="31" t="n"/>
      <c r="O176" s="32" t="n"/>
      <c r="P176" s="33" t="n"/>
      <c r="Q176" s="33" t="n"/>
      <c r="R176" s="27" t="n"/>
      <c r="S176" s="34" t="n"/>
      <c r="T176" s="27" t="n"/>
      <c r="U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</row>
    <row r="177" ht="15.75" customHeight="1">
      <c r="E177" s="27" t="n"/>
      <c r="F177" s="34" t="n"/>
      <c r="G177" s="27" t="n"/>
      <c r="H177" s="27" t="n"/>
      <c r="I177" s="35" t="n"/>
      <c r="J177" s="36" t="n"/>
      <c r="K177" s="36" t="n"/>
      <c r="L177" s="30" t="n"/>
      <c r="M177" s="31" t="n"/>
      <c r="N177" s="31" t="n"/>
      <c r="O177" s="32" t="n"/>
      <c r="P177" s="33" t="n"/>
      <c r="Q177" s="33" t="n"/>
      <c r="R177" s="27" t="n"/>
      <c r="S177" s="34" t="n"/>
      <c r="T177" s="27" t="n"/>
      <c r="U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</row>
    <row r="178" ht="15.75" customHeight="1">
      <c r="E178" s="27" t="n"/>
      <c r="F178" s="34" t="n"/>
      <c r="G178" s="27" t="n"/>
      <c r="H178" s="27" t="n"/>
      <c r="I178" s="35" t="n"/>
      <c r="J178" s="36" t="n"/>
      <c r="K178" s="36" t="n"/>
      <c r="L178" s="30" t="n"/>
      <c r="M178" s="31" t="n"/>
      <c r="N178" s="31" t="n"/>
      <c r="O178" s="32" t="n"/>
      <c r="P178" s="33" t="n"/>
      <c r="Q178" s="33" t="n"/>
      <c r="R178" s="27" t="n"/>
      <c r="S178" s="34" t="n"/>
      <c r="T178" s="27" t="n"/>
      <c r="U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</row>
    <row r="179" ht="15.75" customHeight="1">
      <c r="E179" s="27" t="n"/>
      <c r="F179" s="34" t="n"/>
      <c r="G179" s="27" t="n"/>
      <c r="H179" s="27" t="n"/>
      <c r="I179" s="35" t="n"/>
      <c r="J179" s="36" t="n"/>
      <c r="K179" s="36" t="n"/>
      <c r="L179" s="30" t="n"/>
      <c r="M179" s="31" t="n"/>
      <c r="N179" s="31" t="n"/>
      <c r="O179" s="32" t="n"/>
      <c r="P179" s="33" t="n"/>
      <c r="Q179" s="33" t="n"/>
      <c r="R179" s="27" t="n"/>
      <c r="S179" s="34" t="n"/>
      <c r="T179" s="27" t="n"/>
      <c r="U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  <c r="AF179" s="27" t="n"/>
      <c r="AG179" s="27" t="n"/>
      <c r="AH179" s="27" t="n"/>
    </row>
    <row r="180" ht="15.75" customHeight="1">
      <c r="E180" s="27" t="n"/>
      <c r="F180" s="34" t="n"/>
      <c r="G180" s="27" t="n"/>
      <c r="H180" s="27" t="n"/>
      <c r="I180" s="35" t="n"/>
      <c r="J180" s="36" t="n"/>
      <c r="K180" s="36" t="n"/>
      <c r="L180" s="30" t="n"/>
      <c r="M180" s="31" t="n"/>
      <c r="N180" s="31" t="n"/>
      <c r="O180" s="32" t="n"/>
      <c r="P180" s="33" t="n"/>
      <c r="Q180" s="33" t="n"/>
      <c r="R180" s="27" t="n"/>
      <c r="S180" s="34" t="n"/>
      <c r="T180" s="27" t="n"/>
      <c r="U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  <c r="AF180" s="27" t="n"/>
      <c r="AG180" s="27" t="n"/>
      <c r="AH180" s="27" t="n"/>
    </row>
    <row r="181" ht="15.75" customHeight="1">
      <c r="E181" s="27" t="n"/>
      <c r="F181" s="34" t="n"/>
      <c r="G181" s="27" t="n"/>
      <c r="H181" s="27" t="n"/>
      <c r="I181" s="35" t="n"/>
      <c r="J181" s="36" t="n"/>
      <c r="K181" s="36" t="n"/>
      <c r="L181" s="30" t="n"/>
      <c r="M181" s="31" t="n"/>
      <c r="N181" s="31" t="n"/>
      <c r="O181" s="32" t="n"/>
      <c r="P181" s="33" t="n"/>
      <c r="Q181" s="33" t="n"/>
      <c r="R181" s="27" t="n"/>
      <c r="S181" s="34" t="n"/>
      <c r="T181" s="27" t="n"/>
      <c r="U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</row>
    <row r="182" ht="15.75" customHeight="1">
      <c r="E182" s="27" t="n"/>
      <c r="F182" s="34" t="n"/>
      <c r="G182" s="27" t="n"/>
      <c r="H182" s="27" t="n"/>
      <c r="I182" s="35" t="n"/>
      <c r="J182" s="36" t="n"/>
      <c r="K182" s="36" t="n"/>
      <c r="L182" s="30" t="n"/>
      <c r="M182" s="31" t="n"/>
      <c r="N182" s="31" t="n"/>
      <c r="O182" s="32" t="n"/>
      <c r="P182" s="33" t="n"/>
      <c r="Q182" s="33" t="n"/>
      <c r="R182" s="27" t="n"/>
      <c r="S182" s="34" t="n"/>
      <c r="T182" s="27" t="n"/>
      <c r="U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</row>
    <row r="183" ht="15.75" customHeight="1">
      <c r="E183" s="27" t="n"/>
      <c r="F183" s="34" t="n"/>
      <c r="G183" s="27" t="n"/>
      <c r="H183" s="27" t="n"/>
      <c r="I183" s="35" t="n"/>
      <c r="J183" s="36" t="n"/>
      <c r="K183" s="36" t="n"/>
      <c r="L183" s="30" t="n"/>
      <c r="M183" s="31" t="n"/>
      <c r="N183" s="31" t="n"/>
      <c r="O183" s="32" t="n"/>
      <c r="P183" s="33" t="n"/>
      <c r="Q183" s="33" t="n"/>
      <c r="R183" s="27" t="n"/>
      <c r="S183" s="34" t="n"/>
      <c r="T183" s="27" t="n"/>
      <c r="U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</row>
    <row r="184" ht="15.75" customHeight="1">
      <c r="E184" s="27" t="n"/>
      <c r="F184" s="34" t="n"/>
      <c r="G184" s="27" t="n"/>
      <c r="H184" s="27" t="n"/>
      <c r="I184" s="35" t="n"/>
      <c r="J184" s="36" t="n"/>
      <c r="K184" s="36" t="n"/>
      <c r="L184" s="30" t="n"/>
      <c r="M184" s="31" t="n"/>
      <c r="N184" s="31" t="n"/>
      <c r="O184" s="32" t="n"/>
      <c r="P184" s="33" t="n"/>
      <c r="Q184" s="33" t="n"/>
      <c r="R184" s="27" t="n"/>
      <c r="S184" s="34" t="n"/>
      <c r="T184" s="27" t="n"/>
      <c r="U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</row>
    <row r="185" ht="15.75" customHeight="1">
      <c r="E185" s="27" t="n"/>
      <c r="F185" s="34" t="n"/>
      <c r="G185" s="27" t="n"/>
      <c r="H185" s="27" t="n"/>
      <c r="I185" s="35" t="n"/>
      <c r="J185" s="36" t="n"/>
      <c r="K185" s="36" t="n"/>
      <c r="L185" s="30" t="n"/>
      <c r="M185" s="31" t="n"/>
      <c r="N185" s="31" t="n"/>
      <c r="O185" s="32" t="n"/>
      <c r="P185" s="33" t="n"/>
      <c r="Q185" s="33" t="n"/>
      <c r="R185" s="27" t="n"/>
      <c r="S185" s="34" t="n"/>
      <c r="T185" s="27" t="n"/>
      <c r="U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</row>
    <row r="186" ht="15.75" customHeight="1">
      <c r="E186" s="27" t="n"/>
      <c r="F186" s="34" t="n"/>
      <c r="G186" s="27" t="n"/>
      <c r="H186" s="27" t="n"/>
      <c r="I186" s="35" t="n"/>
      <c r="J186" s="36" t="n"/>
      <c r="K186" s="36" t="n"/>
      <c r="L186" s="30" t="n"/>
      <c r="M186" s="31" t="n"/>
      <c r="N186" s="31" t="n"/>
      <c r="O186" s="32" t="n"/>
      <c r="P186" s="33" t="n"/>
      <c r="Q186" s="33" t="n"/>
      <c r="R186" s="27" t="n"/>
      <c r="S186" s="34" t="n"/>
      <c r="T186" s="27" t="n"/>
      <c r="U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</row>
    <row r="187" ht="15.75" customHeight="1">
      <c r="E187" s="27" t="n"/>
      <c r="F187" s="34" t="n"/>
      <c r="G187" s="27" t="n"/>
      <c r="H187" s="27" t="n"/>
      <c r="I187" s="35" t="n"/>
      <c r="J187" s="36" t="n"/>
      <c r="K187" s="36" t="n"/>
      <c r="L187" s="30" t="n"/>
      <c r="M187" s="31" t="n"/>
      <c r="N187" s="31" t="n"/>
      <c r="O187" s="32" t="n"/>
      <c r="P187" s="33" t="n"/>
      <c r="Q187" s="33" t="n"/>
      <c r="R187" s="27" t="n"/>
      <c r="S187" s="34" t="n"/>
      <c r="T187" s="27" t="n"/>
      <c r="U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</row>
    <row r="188" ht="15.75" customHeight="1">
      <c r="E188" s="27" t="n"/>
      <c r="F188" s="34" t="n"/>
      <c r="G188" s="27" t="n"/>
      <c r="H188" s="27" t="n"/>
      <c r="I188" s="35" t="n"/>
      <c r="J188" s="36" t="n"/>
      <c r="K188" s="36" t="n"/>
      <c r="L188" s="30" t="n"/>
      <c r="M188" s="31" t="n"/>
      <c r="N188" s="31" t="n"/>
      <c r="O188" s="32" t="n"/>
      <c r="P188" s="33" t="n"/>
      <c r="Q188" s="33" t="n"/>
      <c r="R188" s="27" t="n"/>
      <c r="S188" s="34" t="n"/>
      <c r="T188" s="27" t="n"/>
      <c r="U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</row>
    <row r="189" ht="15.75" customHeight="1">
      <c r="E189" s="27" t="n"/>
      <c r="F189" s="34" t="n"/>
      <c r="G189" s="27" t="n"/>
      <c r="H189" s="27" t="n"/>
      <c r="I189" s="35" t="n"/>
      <c r="J189" s="36" t="n"/>
      <c r="K189" s="36" t="n"/>
      <c r="L189" s="30" t="n"/>
      <c r="M189" s="31" t="n"/>
      <c r="N189" s="31" t="n"/>
      <c r="O189" s="32" t="n"/>
      <c r="P189" s="33" t="n"/>
      <c r="Q189" s="33" t="n"/>
      <c r="R189" s="27" t="n"/>
      <c r="S189" s="34" t="n"/>
      <c r="T189" s="27" t="n"/>
      <c r="U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</row>
    <row r="190" ht="15.75" customHeight="1">
      <c r="E190" s="27" t="n"/>
      <c r="F190" s="34" t="n"/>
      <c r="G190" s="27" t="n"/>
      <c r="H190" s="27" t="n"/>
      <c r="I190" s="35" t="n"/>
      <c r="J190" s="36" t="n"/>
      <c r="K190" s="36" t="n"/>
      <c r="L190" s="30" t="n"/>
      <c r="M190" s="31" t="n"/>
      <c r="N190" s="31" t="n"/>
      <c r="O190" s="32" t="n"/>
      <c r="P190" s="33" t="n"/>
      <c r="Q190" s="33" t="n"/>
      <c r="R190" s="27" t="n"/>
      <c r="S190" s="34" t="n"/>
      <c r="T190" s="27" t="n"/>
      <c r="U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  <c r="AF190" s="27" t="n"/>
      <c r="AG190" s="27" t="n"/>
      <c r="AH190" s="27" t="n"/>
    </row>
    <row r="191" ht="15.75" customHeight="1">
      <c r="E191" s="27" t="n"/>
      <c r="F191" s="34" t="n"/>
      <c r="G191" s="27" t="n"/>
      <c r="H191" s="27" t="n"/>
      <c r="I191" s="35" t="n"/>
      <c r="J191" s="36" t="n"/>
      <c r="K191" s="36" t="n"/>
      <c r="L191" s="30" t="n"/>
      <c r="M191" s="31" t="n"/>
      <c r="N191" s="31" t="n"/>
      <c r="O191" s="32" t="n"/>
      <c r="P191" s="33" t="n"/>
      <c r="Q191" s="33" t="n"/>
      <c r="R191" s="27" t="n"/>
      <c r="S191" s="34" t="n"/>
      <c r="T191" s="27" t="n"/>
      <c r="U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  <c r="AF191" s="27" t="n"/>
      <c r="AG191" s="27" t="n"/>
      <c r="AH191" s="27" t="n"/>
    </row>
    <row r="192" ht="15.75" customHeight="1">
      <c r="E192" s="27" t="n"/>
      <c r="F192" s="34" t="n"/>
      <c r="G192" s="27" t="n"/>
      <c r="H192" s="27" t="n"/>
      <c r="I192" s="35" t="n"/>
      <c r="J192" s="36" t="n"/>
      <c r="K192" s="36" t="n"/>
      <c r="L192" s="30" t="n"/>
      <c r="M192" s="31" t="n"/>
      <c r="N192" s="31" t="n"/>
      <c r="O192" s="32" t="n"/>
      <c r="P192" s="33" t="n"/>
      <c r="Q192" s="33" t="n"/>
      <c r="R192" s="27" t="n"/>
      <c r="S192" s="34" t="n"/>
      <c r="T192" s="27" t="n"/>
      <c r="U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</row>
    <row r="193" ht="15.75" customHeight="1">
      <c r="E193" s="27" t="n"/>
      <c r="F193" s="34" t="n"/>
      <c r="G193" s="27" t="n"/>
      <c r="H193" s="27" t="n"/>
      <c r="I193" s="35" t="n"/>
      <c r="J193" s="36" t="n"/>
      <c r="K193" s="36" t="n"/>
      <c r="L193" s="30" t="n"/>
      <c r="M193" s="31" t="n"/>
      <c r="N193" s="31" t="n"/>
      <c r="O193" s="32" t="n"/>
      <c r="P193" s="33" t="n"/>
      <c r="Q193" s="33" t="n"/>
      <c r="R193" s="27" t="n"/>
      <c r="S193" s="34" t="n"/>
      <c r="T193" s="27" t="n"/>
      <c r="U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</row>
    <row r="194" ht="15.75" customHeight="1">
      <c r="E194" s="27" t="n"/>
      <c r="F194" s="34" t="n"/>
      <c r="G194" s="27" t="n"/>
      <c r="H194" s="27" t="n"/>
      <c r="I194" s="35" t="n"/>
      <c r="J194" s="36" t="n"/>
      <c r="K194" s="36" t="n"/>
      <c r="L194" s="30" t="n"/>
      <c r="M194" s="31" t="n"/>
      <c r="N194" s="31" t="n"/>
      <c r="O194" s="32" t="n"/>
      <c r="P194" s="33" t="n"/>
      <c r="Q194" s="33" t="n"/>
      <c r="R194" s="27" t="n"/>
      <c r="S194" s="34" t="n"/>
      <c r="T194" s="27" t="n"/>
      <c r="U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</row>
    <row r="195" ht="15.75" customHeight="1">
      <c r="E195" s="27" t="n"/>
      <c r="F195" s="34" t="n"/>
      <c r="G195" s="27" t="n"/>
      <c r="H195" s="27" t="n"/>
      <c r="I195" s="35" t="n"/>
      <c r="J195" s="36" t="n"/>
      <c r="K195" s="36" t="n"/>
      <c r="L195" s="30" t="n"/>
      <c r="M195" s="31" t="n"/>
      <c r="N195" s="31" t="n"/>
      <c r="O195" s="32" t="n"/>
      <c r="P195" s="33" t="n"/>
      <c r="Q195" s="33" t="n"/>
      <c r="R195" s="27" t="n"/>
      <c r="S195" s="34" t="n"/>
      <c r="T195" s="27" t="n"/>
      <c r="U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</row>
    <row r="196" ht="15.75" customHeight="1">
      <c r="E196" s="27" t="n"/>
      <c r="F196" s="34" t="n"/>
      <c r="G196" s="27" t="n"/>
      <c r="H196" s="27" t="n"/>
      <c r="I196" s="35" t="n"/>
      <c r="J196" s="36" t="n"/>
      <c r="K196" s="36" t="n"/>
      <c r="L196" s="30" t="n"/>
      <c r="M196" s="31" t="n"/>
      <c r="N196" s="31" t="n"/>
      <c r="O196" s="32" t="n"/>
      <c r="P196" s="33" t="n"/>
      <c r="Q196" s="33" t="n"/>
      <c r="R196" s="27" t="n"/>
      <c r="S196" s="34" t="n"/>
      <c r="T196" s="27" t="n"/>
      <c r="U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</row>
    <row r="197" ht="15.75" customHeight="1">
      <c r="E197" s="27" t="n"/>
      <c r="F197" s="34" t="n"/>
      <c r="G197" s="27" t="n"/>
      <c r="H197" s="27" t="n"/>
      <c r="I197" s="35" t="n"/>
      <c r="J197" s="36" t="n"/>
      <c r="K197" s="36" t="n"/>
      <c r="L197" s="30" t="n"/>
      <c r="M197" s="31" t="n"/>
      <c r="N197" s="31" t="n"/>
      <c r="O197" s="32" t="n"/>
      <c r="P197" s="33" t="n"/>
      <c r="Q197" s="33" t="n"/>
      <c r="R197" s="27" t="n"/>
      <c r="S197" s="34" t="n"/>
      <c r="T197" s="27" t="n"/>
      <c r="U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</row>
    <row r="198" ht="15.75" customHeight="1">
      <c r="E198" s="27" t="n"/>
      <c r="F198" s="34" t="n"/>
      <c r="G198" s="27" t="n"/>
      <c r="H198" s="27" t="n"/>
      <c r="I198" s="35" t="n"/>
      <c r="J198" s="36" t="n"/>
      <c r="K198" s="36" t="n"/>
      <c r="L198" s="30" t="n"/>
      <c r="M198" s="31" t="n"/>
      <c r="N198" s="31" t="n"/>
      <c r="O198" s="32" t="n"/>
      <c r="P198" s="33" t="n"/>
      <c r="Q198" s="33" t="n"/>
      <c r="R198" s="27" t="n"/>
      <c r="S198" s="34" t="n"/>
      <c r="T198" s="27" t="n"/>
      <c r="U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</row>
    <row r="199" ht="15.75" customHeight="1">
      <c r="E199" s="27" t="n"/>
      <c r="F199" s="34" t="n"/>
      <c r="G199" s="27" t="n"/>
      <c r="H199" s="27" t="n"/>
      <c r="I199" s="35" t="n"/>
      <c r="J199" s="36" t="n"/>
      <c r="K199" s="36" t="n"/>
      <c r="L199" s="30" t="n"/>
      <c r="M199" s="31" t="n"/>
      <c r="N199" s="31" t="n"/>
      <c r="O199" s="32" t="n"/>
      <c r="P199" s="33" t="n"/>
      <c r="Q199" s="33" t="n"/>
      <c r="R199" s="27" t="n"/>
      <c r="S199" s="34" t="n"/>
      <c r="T199" s="27" t="n"/>
      <c r="U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</row>
    <row r="200" ht="15.75" customHeight="1">
      <c r="E200" s="27" t="n"/>
      <c r="F200" s="34" t="n"/>
      <c r="G200" s="27" t="n"/>
      <c r="H200" s="27" t="n"/>
      <c r="I200" s="35" t="n"/>
      <c r="J200" s="36" t="n"/>
      <c r="K200" s="36" t="n"/>
      <c r="L200" s="30" t="n"/>
      <c r="M200" s="31" t="n"/>
      <c r="N200" s="31" t="n"/>
      <c r="O200" s="32" t="n"/>
      <c r="P200" s="33" t="n"/>
      <c r="Q200" s="33" t="n"/>
      <c r="R200" s="27" t="n"/>
      <c r="S200" s="34" t="n"/>
      <c r="T200" s="27" t="n"/>
      <c r="U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</row>
    <row r="201" ht="15.75" customHeight="1">
      <c r="E201" s="27" t="n"/>
      <c r="F201" s="34" t="n"/>
      <c r="G201" s="27" t="n"/>
      <c r="H201" s="27" t="n"/>
      <c r="I201" s="35" t="n"/>
      <c r="J201" s="36" t="n"/>
      <c r="K201" s="36" t="n"/>
      <c r="L201" s="30" t="n"/>
      <c r="M201" s="31" t="n"/>
      <c r="N201" s="31" t="n"/>
      <c r="O201" s="32" t="n"/>
      <c r="P201" s="33" t="n"/>
      <c r="Q201" s="33" t="n"/>
      <c r="R201" s="27" t="n"/>
      <c r="S201" s="34" t="n"/>
      <c r="T201" s="27" t="n"/>
      <c r="U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  <c r="AF201" s="27" t="n"/>
      <c r="AG201" s="27" t="n"/>
      <c r="AH201" s="27" t="n"/>
    </row>
    <row r="202" ht="15.75" customHeight="1">
      <c r="E202" s="27" t="n"/>
      <c r="F202" s="34" t="n"/>
      <c r="G202" s="27" t="n"/>
      <c r="H202" s="27" t="n"/>
      <c r="I202" s="35" t="n"/>
      <c r="J202" s="36" t="n"/>
      <c r="K202" s="36" t="n"/>
      <c r="L202" s="30" t="n"/>
      <c r="M202" s="31" t="n"/>
      <c r="N202" s="31" t="n"/>
      <c r="O202" s="32" t="n"/>
      <c r="P202" s="33" t="n"/>
      <c r="Q202" s="33" t="n"/>
      <c r="R202" s="27" t="n"/>
      <c r="S202" s="34" t="n"/>
      <c r="T202" s="27" t="n"/>
      <c r="U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  <c r="AF202" s="27" t="n"/>
      <c r="AG202" s="27" t="n"/>
      <c r="AH202" s="27" t="n"/>
    </row>
    <row r="203" ht="15.75" customHeight="1">
      <c r="E203" s="27" t="n"/>
      <c r="F203" s="34" t="n"/>
      <c r="G203" s="27" t="n"/>
      <c r="H203" s="27" t="n"/>
      <c r="I203" s="35" t="n"/>
      <c r="J203" s="36" t="n"/>
      <c r="K203" s="36" t="n"/>
      <c r="L203" s="30" t="n"/>
      <c r="M203" s="31" t="n"/>
      <c r="N203" s="31" t="n"/>
      <c r="O203" s="32" t="n"/>
      <c r="P203" s="33" t="n"/>
      <c r="Q203" s="33" t="n"/>
      <c r="R203" s="27" t="n"/>
      <c r="S203" s="34" t="n"/>
      <c r="T203" s="27" t="n"/>
      <c r="U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</row>
    <row r="204" ht="15.75" customHeight="1">
      <c r="E204" s="27" t="n"/>
      <c r="F204" s="34" t="n"/>
      <c r="G204" s="27" t="n"/>
      <c r="H204" s="27" t="n"/>
      <c r="I204" s="35" t="n"/>
      <c r="J204" s="36" t="n"/>
      <c r="K204" s="36" t="n"/>
      <c r="L204" s="30" t="n"/>
      <c r="M204" s="31" t="n"/>
      <c r="N204" s="31" t="n"/>
      <c r="O204" s="32" t="n"/>
      <c r="P204" s="33" t="n"/>
      <c r="Q204" s="33" t="n"/>
      <c r="R204" s="27" t="n"/>
      <c r="S204" s="34" t="n"/>
      <c r="T204" s="27" t="n"/>
      <c r="U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</row>
    <row r="205" ht="15.75" customHeight="1">
      <c r="E205" s="27" t="n"/>
      <c r="F205" s="34" t="n"/>
      <c r="G205" s="27" t="n"/>
      <c r="H205" s="27" t="n"/>
      <c r="I205" s="35" t="n"/>
      <c r="J205" s="36" t="n"/>
      <c r="K205" s="36" t="n"/>
      <c r="L205" s="30" t="n"/>
      <c r="M205" s="31" t="n"/>
      <c r="N205" s="31" t="n"/>
      <c r="O205" s="32" t="n"/>
      <c r="P205" s="33" t="n"/>
      <c r="Q205" s="33" t="n"/>
      <c r="R205" s="27" t="n"/>
      <c r="S205" s="34" t="n"/>
      <c r="T205" s="27" t="n"/>
      <c r="U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</row>
    <row r="206" ht="15.75" customHeight="1">
      <c r="E206" s="27" t="n"/>
      <c r="F206" s="34" t="n"/>
      <c r="G206" s="27" t="n"/>
      <c r="H206" s="27" t="n"/>
      <c r="I206" s="35" t="n"/>
      <c r="J206" s="36" t="n"/>
      <c r="K206" s="36" t="n"/>
      <c r="L206" s="30" t="n"/>
      <c r="M206" s="31" t="n"/>
      <c r="N206" s="31" t="n"/>
      <c r="O206" s="32" t="n"/>
      <c r="P206" s="33" t="n"/>
      <c r="Q206" s="33" t="n"/>
      <c r="R206" s="27" t="n"/>
      <c r="S206" s="34" t="n"/>
      <c r="T206" s="27" t="n"/>
      <c r="U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</row>
    <row r="207" ht="15.75" customHeight="1">
      <c r="E207" s="27" t="n"/>
      <c r="F207" s="34" t="n"/>
      <c r="G207" s="27" t="n"/>
      <c r="H207" s="27" t="n"/>
      <c r="I207" s="35" t="n"/>
      <c r="J207" s="36" t="n"/>
      <c r="K207" s="36" t="n"/>
      <c r="L207" s="30" t="n"/>
      <c r="M207" s="31" t="n"/>
      <c r="N207" s="31" t="n"/>
      <c r="O207" s="32" t="n"/>
      <c r="P207" s="33" t="n"/>
      <c r="Q207" s="33" t="n"/>
      <c r="R207" s="27" t="n"/>
      <c r="S207" s="34" t="n"/>
      <c r="T207" s="27" t="n"/>
      <c r="U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</row>
    <row r="208" ht="15.75" customHeight="1">
      <c r="E208" s="27" t="n"/>
      <c r="F208" s="34" t="n"/>
      <c r="G208" s="27" t="n"/>
      <c r="H208" s="27" t="n"/>
      <c r="I208" s="35" t="n"/>
      <c r="J208" s="36" t="n"/>
      <c r="K208" s="36" t="n"/>
      <c r="L208" s="30" t="n"/>
      <c r="M208" s="31" t="n"/>
      <c r="N208" s="31" t="n"/>
      <c r="O208" s="32" t="n"/>
      <c r="P208" s="33" t="n"/>
      <c r="Q208" s="33" t="n"/>
      <c r="R208" s="27" t="n"/>
      <c r="S208" s="34" t="n"/>
      <c r="T208" s="27" t="n"/>
      <c r="U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</row>
    <row r="209" ht="15.75" customHeight="1">
      <c r="E209" s="27" t="n"/>
      <c r="F209" s="34" t="n"/>
      <c r="G209" s="27" t="n"/>
      <c r="H209" s="27" t="n"/>
      <c r="I209" s="35" t="n"/>
      <c r="J209" s="36" t="n"/>
      <c r="K209" s="36" t="n"/>
      <c r="L209" s="30" t="n"/>
      <c r="M209" s="31" t="n"/>
      <c r="N209" s="31" t="n"/>
      <c r="O209" s="32" t="n"/>
      <c r="P209" s="33" t="n"/>
      <c r="Q209" s="33" t="n"/>
      <c r="R209" s="27" t="n"/>
      <c r="S209" s="34" t="n"/>
      <c r="T209" s="27" t="n"/>
      <c r="U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</row>
    <row r="210" ht="15.75" customHeight="1">
      <c r="E210" s="27" t="n"/>
      <c r="F210" s="34" t="n"/>
      <c r="G210" s="27" t="n"/>
      <c r="H210" s="27" t="n"/>
      <c r="I210" s="35" t="n"/>
      <c r="J210" s="36" t="n"/>
      <c r="K210" s="36" t="n"/>
      <c r="L210" s="30" t="n"/>
      <c r="M210" s="31" t="n"/>
      <c r="N210" s="31" t="n"/>
      <c r="O210" s="32" t="n"/>
      <c r="P210" s="33" t="n"/>
      <c r="Q210" s="33" t="n"/>
      <c r="R210" s="27" t="n"/>
      <c r="S210" s="34" t="n"/>
      <c r="T210" s="27" t="n"/>
      <c r="U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</row>
    <row r="211" ht="15.75" customHeight="1">
      <c r="E211" s="27" t="n"/>
      <c r="F211" s="34" t="n"/>
      <c r="G211" s="27" t="n"/>
      <c r="H211" s="27" t="n"/>
      <c r="I211" s="35" t="n"/>
      <c r="J211" s="36" t="n"/>
      <c r="K211" s="36" t="n"/>
      <c r="L211" s="30" t="n"/>
      <c r="M211" s="31" t="n"/>
      <c r="N211" s="31" t="n"/>
      <c r="O211" s="32" t="n"/>
      <c r="P211" s="33" t="n"/>
      <c r="Q211" s="33" t="n"/>
      <c r="R211" s="27" t="n"/>
      <c r="S211" s="34" t="n"/>
      <c r="T211" s="27" t="n"/>
      <c r="U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</row>
    <row r="212" ht="15.75" customHeight="1">
      <c r="E212" s="27" t="n"/>
      <c r="F212" s="34" t="n"/>
      <c r="G212" s="27" t="n"/>
      <c r="H212" s="27" t="n"/>
      <c r="I212" s="35" t="n"/>
      <c r="J212" s="36" t="n"/>
      <c r="K212" s="36" t="n"/>
      <c r="L212" s="30" t="n"/>
      <c r="M212" s="31" t="n"/>
      <c r="N212" s="31" t="n"/>
      <c r="O212" s="32" t="n"/>
      <c r="P212" s="33" t="n"/>
      <c r="Q212" s="33" t="n"/>
      <c r="R212" s="27" t="n"/>
      <c r="S212" s="34" t="n"/>
      <c r="T212" s="27" t="n"/>
      <c r="U212" s="27" t="n"/>
      <c r="X212" s="27" t="n"/>
      <c r="Y212" s="27" t="n"/>
      <c r="Z212" s="27" t="n"/>
      <c r="AA212" s="27" t="n"/>
      <c r="AB212" s="27" t="n"/>
      <c r="AC212" s="27" t="n"/>
      <c r="AD212" s="27" t="n"/>
      <c r="AE212" s="27" t="n"/>
      <c r="AF212" s="27" t="n"/>
      <c r="AG212" s="27" t="n"/>
      <c r="AH212" s="27" t="n"/>
    </row>
    <row r="213" ht="15.75" customHeight="1">
      <c r="E213" s="27" t="n"/>
      <c r="F213" s="34" t="n"/>
      <c r="G213" s="27" t="n"/>
      <c r="H213" s="27" t="n"/>
      <c r="I213" s="35" t="n"/>
      <c r="J213" s="36" t="n"/>
      <c r="K213" s="36" t="n"/>
      <c r="L213" s="30" t="n"/>
      <c r="M213" s="31" t="n"/>
      <c r="N213" s="31" t="n"/>
      <c r="O213" s="32" t="n"/>
      <c r="P213" s="33" t="n"/>
      <c r="Q213" s="33" t="n"/>
      <c r="R213" s="27" t="n"/>
      <c r="S213" s="34" t="n"/>
      <c r="T213" s="27" t="n"/>
      <c r="U213" s="27" t="n"/>
      <c r="X213" s="27" t="n"/>
      <c r="Y213" s="27" t="n"/>
      <c r="Z213" s="27" t="n"/>
      <c r="AA213" s="27" t="n"/>
      <c r="AB213" s="27" t="n"/>
      <c r="AC213" s="27" t="n"/>
      <c r="AD213" s="27" t="n"/>
      <c r="AE213" s="27" t="n"/>
      <c r="AF213" s="27" t="n"/>
      <c r="AG213" s="27" t="n"/>
      <c r="AH213" s="27" t="n"/>
    </row>
    <row r="214" ht="15.75" customHeight="1">
      <c r="E214" s="27" t="n"/>
      <c r="F214" s="34" t="n"/>
      <c r="G214" s="27" t="n"/>
      <c r="H214" s="27" t="n"/>
      <c r="I214" s="35" t="n"/>
      <c r="J214" s="36" t="n"/>
      <c r="K214" s="36" t="n"/>
      <c r="L214" s="30" t="n"/>
      <c r="M214" s="31" t="n"/>
      <c r="N214" s="31" t="n"/>
      <c r="O214" s="32" t="n"/>
      <c r="P214" s="33" t="n"/>
      <c r="Q214" s="33" t="n"/>
      <c r="R214" s="27" t="n"/>
      <c r="S214" s="34" t="n"/>
      <c r="T214" s="27" t="n"/>
      <c r="U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</row>
    <row r="215" ht="15.75" customHeight="1">
      <c r="E215" s="27" t="n"/>
      <c r="F215" s="34" t="n"/>
      <c r="G215" s="27" t="n"/>
      <c r="H215" s="27" t="n"/>
      <c r="I215" s="35" t="n"/>
      <c r="J215" s="36" t="n"/>
      <c r="K215" s="36" t="n"/>
      <c r="L215" s="30" t="n"/>
      <c r="M215" s="31" t="n"/>
      <c r="N215" s="31" t="n"/>
      <c r="O215" s="32" t="n"/>
      <c r="P215" s="33" t="n"/>
      <c r="Q215" s="33" t="n"/>
      <c r="R215" s="27" t="n"/>
      <c r="S215" s="34" t="n"/>
      <c r="T215" s="27" t="n"/>
      <c r="U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</row>
    <row r="216" ht="15.75" customHeight="1">
      <c r="E216" s="27" t="n"/>
      <c r="F216" s="34" t="n"/>
      <c r="G216" s="27" t="n"/>
      <c r="H216" s="27" t="n"/>
      <c r="I216" s="35" t="n"/>
      <c r="J216" s="36" t="n"/>
      <c r="K216" s="36" t="n"/>
      <c r="L216" s="30" t="n"/>
      <c r="M216" s="31" t="n"/>
      <c r="N216" s="31" t="n"/>
      <c r="O216" s="32" t="n"/>
      <c r="P216" s="33" t="n"/>
      <c r="Q216" s="33" t="n"/>
      <c r="R216" s="27" t="n"/>
      <c r="S216" s="34" t="n"/>
      <c r="T216" s="27" t="n"/>
      <c r="U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</row>
    <row r="217" ht="15.75" customHeight="1">
      <c r="E217" s="27" t="n"/>
      <c r="F217" s="34" t="n"/>
      <c r="G217" s="27" t="n"/>
      <c r="H217" s="27" t="n"/>
      <c r="I217" s="35" t="n"/>
      <c r="J217" s="36" t="n"/>
      <c r="K217" s="36" t="n"/>
      <c r="L217" s="30" t="n"/>
      <c r="M217" s="31" t="n"/>
      <c r="N217" s="31" t="n"/>
      <c r="O217" s="32" t="n"/>
      <c r="P217" s="33" t="n"/>
      <c r="Q217" s="33" t="n"/>
      <c r="R217" s="27" t="n"/>
      <c r="S217" s="34" t="n"/>
      <c r="T217" s="27" t="n"/>
      <c r="U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</row>
    <row r="218" ht="15.75" customHeight="1">
      <c r="E218" s="27" t="n"/>
      <c r="F218" s="34" t="n"/>
      <c r="G218" s="27" t="n"/>
      <c r="H218" s="27" t="n"/>
      <c r="I218" s="35" t="n"/>
      <c r="J218" s="36" t="n"/>
      <c r="K218" s="36" t="n"/>
      <c r="L218" s="30" t="n"/>
      <c r="M218" s="31" t="n"/>
      <c r="N218" s="31" t="n"/>
      <c r="O218" s="32" t="n"/>
      <c r="P218" s="33" t="n"/>
      <c r="Q218" s="33" t="n"/>
      <c r="R218" s="27" t="n"/>
      <c r="S218" s="34" t="n"/>
      <c r="T218" s="27" t="n"/>
      <c r="U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</row>
    <row r="219" ht="15.75" customHeight="1">
      <c r="E219" s="27" t="n"/>
      <c r="F219" s="34" t="n"/>
      <c r="G219" s="27" t="n"/>
      <c r="H219" s="27" t="n"/>
      <c r="I219" s="35" t="n"/>
      <c r="J219" s="36" t="n"/>
      <c r="K219" s="36" t="n"/>
      <c r="L219" s="30" t="n"/>
      <c r="M219" s="31" t="n"/>
      <c r="N219" s="31" t="n"/>
      <c r="O219" s="32" t="n"/>
      <c r="P219" s="33" t="n"/>
      <c r="Q219" s="33" t="n"/>
      <c r="R219" s="27" t="n"/>
      <c r="S219" s="34" t="n"/>
      <c r="T219" s="27" t="n"/>
      <c r="U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</row>
    <row r="220" ht="15.75" customHeight="1">
      <c r="E220" s="27" t="n"/>
      <c r="F220" s="34" t="n"/>
      <c r="G220" s="27" t="n"/>
      <c r="H220" s="27" t="n"/>
      <c r="I220" s="35" t="n"/>
      <c r="J220" s="36" t="n"/>
      <c r="K220" s="36" t="n"/>
      <c r="L220" s="30" t="n"/>
      <c r="M220" s="31" t="n"/>
      <c r="N220" s="31" t="n"/>
      <c r="O220" s="32" t="n"/>
      <c r="P220" s="33" t="n"/>
      <c r="Q220" s="33" t="n"/>
      <c r="R220" s="27" t="n"/>
      <c r="S220" s="34" t="n"/>
      <c r="T220" s="27" t="n"/>
      <c r="U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</row>
    <row r="221" ht="15.75" customHeight="1">
      <c r="F221" s="39" t="n"/>
      <c r="I221" s="40" t="n"/>
      <c r="J221" s="41" t="n"/>
      <c r="K221" s="41" t="n"/>
      <c r="L221" s="42" t="n"/>
      <c r="M221" s="43" t="n"/>
      <c r="N221" s="43" t="n"/>
      <c r="O221" s="44" t="n"/>
      <c r="P221" s="45" t="n"/>
      <c r="Q221" s="45" t="n"/>
      <c r="S221" s="39" t="n"/>
    </row>
    <row r="222" ht="15.75" customHeight="1">
      <c r="F222" s="39" t="n"/>
      <c r="I222" s="40" t="n"/>
      <c r="J222" s="41" t="n"/>
      <c r="K222" s="41" t="n"/>
      <c r="L222" s="42" t="n"/>
      <c r="M222" s="43" t="n"/>
      <c r="N222" s="43" t="n"/>
      <c r="O222" s="44" t="n"/>
      <c r="P222" s="45" t="n"/>
      <c r="Q222" s="45" t="n"/>
      <c r="S222" s="39" t="n"/>
    </row>
    <row r="223" ht="15.75" customHeight="1">
      <c r="F223" s="39" t="n"/>
      <c r="I223" s="40" t="n"/>
      <c r="J223" s="41" t="n"/>
      <c r="K223" s="41" t="n"/>
      <c r="L223" s="42" t="n"/>
      <c r="M223" s="43" t="n"/>
      <c r="N223" s="43" t="n"/>
      <c r="O223" s="44" t="n"/>
      <c r="P223" s="45" t="n"/>
      <c r="Q223" s="45" t="n"/>
      <c r="S223" s="39" t="n"/>
    </row>
    <row r="224" ht="15.75" customHeight="1">
      <c r="F224" s="39" t="n"/>
      <c r="I224" s="40" t="n"/>
      <c r="J224" s="41" t="n"/>
      <c r="K224" s="41" t="n"/>
      <c r="L224" s="42" t="n"/>
      <c r="M224" s="43" t="n"/>
      <c r="N224" s="43" t="n"/>
      <c r="O224" s="44" t="n"/>
      <c r="P224" s="45" t="n"/>
      <c r="Q224" s="45" t="n"/>
      <c r="S224" s="39" t="n"/>
    </row>
    <row r="225" ht="15.75" customHeight="1">
      <c r="F225" s="39" t="n"/>
      <c r="I225" s="40" t="n"/>
      <c r="J225" s="41" t="n"/>
      <c r="K225" s="41" t="n"/>
      <c r="L225" s="42" t="n"/>
      <c r="M225" s="43" t="n"/>
      <c r="N225" s="43" t="n"/>
      <c r="O225" s="44" t="n"/>
      <c r="P225" s="45" t="n"/>
      <c r="Q225" s="45" t="n"/>
      <c r="S225" s="39" t="n"/>
    </row>
    <row r="226" ht="15.75" customHeight="1">
      <c r="F226" s="39" t="n"/>
      <c r="I226" s="40" t="n"/>
      <c r="J226" s="41" t="n"/>
      <c r="K226" s="41" t="n"/>
      <c r="L226" s="42" t="n"/>
      <c r="M226" s="43" t="n"/>
      <c r="N226" s="43" t="n"/>
      <c r="O226" s="44" t="n"/>
      <c r="P226" s="45" t="n"/>
      <c r="Q226" s="45" t="n"/>
      <c r="S226" s="39" t="n"/>
    </row>
    <row r="227" ht="15.75" customHeight="1">
      <c r="F227" s="39" t="n"/>
      <c r="I227" s="40" t="n"/>
      <c r="J227" s="41" t="n"/>
      <c r="K227" s="41" t="n"/>
      <c r="L227" s="42" t="n"/>
      <c r="M227" s="43" t="n"/>
      <c r="N227" s="43" t="n"/>
      <c r="O227" s="44" t="n"/>
      <c r="P227" s="45" t="n"/>
      <c r="Q227" s="45" t="n"/>
      <c r="S227" s="39" t="n"/>
    </row>
    <row r="228" ht="15.75" customHeight="1">
      <c r="F228" s="39" t="n"/>
      <c r="I228" s="40" t="n"/>
      <c r="J228" s="41" t="n"/>
      <c r="K228" s="41" t="n"/>
      <c r="L228" s="42" t="n"/>
      <c r="M228" s="43" t="n"/>
      <c r="N228" s="43" t="n"/>
      <c r="O228" s="44" t="n"/>
      <c r="P228" s="45" t="n"/>
      <c r="Q228" s="45" t="n"/>
      <c r="S228" s="39" t="n"/>
    </row>
    <row r="229" ht="15.75" customHeight="1">
      <c r="F229" s="39" t="n"/>
      <c r="I229" s="40" t="n"/>
      <c r="J229" s="41" t="n"/>
      <c r="K229" s="41" t="n"/>
      <c r="L229" s="42" t="n"/>
      <c r="M229" s="43" t="n"/>
      <c r="N229" s="43" t="n"/>
      <c r="O229" s="44" t="n"/>
      <c r="P229" s="45" t="n"/>
      <c r="Q229" s="45" t="n"/>
      <c r="S229" s="39" t="n"/>
    </row>
    <row r="230" ht="15.75" customHeight="1">
      <c r="F230" s="39" t="n"/>
      <c r="I230" s="40" t="n"/>
      <c r="J230" s="41" t="n"/>
      <c r="K230" s="41" t="n"/>
      <c r="L230" s="42" t="n"/>
      <c r="M230" s="43" t="n"/>
      <c r="N230" s="43" t="n"/>
      <c r="O230" s="44" t="n"/>
      <c r="P230" s="45" t="n"/>
      <c r="Q230" s="45" t="n"/>
      <c r="S230" s="39" t="n"/>
    </row>
    <row r="231" ht="15.75" customHeight="1">
      <c r="F231" s="39" t="n"/>
      <c r="I231" s="40" t="n"/>
      <c r="J231" s="41" t="n"/>
      <c r="K231" s="41" t="n"/>
      <c r="L231" s="42" t="n"/>
      <c r="M231" s="43" t="n"/>
      <c r="N231" s="43" t="n"/>
      <c r="O231" s="44" t="n"/>
      <c r="P231" s="45" t="n"/>
      <c r="Q231" s="45" t="n"/>
      <c r="S231" s="39" t="n"/>
    </row>
    <row r="232" ht="15.75" customHeight="1">
      <c r="F232" s="39" t="n"/>
      <c r="I232" s="40" t="n"/>
      <c r="J232" s="41" t="n"/>
      <c r="K232" s="41" t="n"/>
      <c r="L232" s="42" t="n"/>
      <c r="M232" s="43" t="n"/>
      <c r="N232" s="43" t="n"/>
      <c r="O232" s="44" t="n"/>
      <c r="P232" s="45" t="n"/>
      <c r="Q232" s="45" t="n"/>
      <c r="S232" s="39" t="n"/>
    </row>
    <row r="233" ht="15.75" customHeight="1">
      <c r="F233" s="39" t="n"/>
      <c r="I233" s="40" t="n"/>
      <c r="J233" s="41" t="n"/>
      <c r="K233" s="41" t="n"/>
      <c r="L233" s="42" t="n"/>
      <c r="M233" s="43" t="n"/>
      <c r="N233" s="43" t="n"/>
      <c r="O233" s="44" t="n"/>
      <c r="P233" s="45" t="n"/>
      <c r="Q233" s="45" t="n"/>
      <c r="S233" s="39" t="n"/>
    </row>
    <row r="234" ht="15.75" customHeight="1">
      <c r="F234" s="39" t="n"/>
      <c r="I234" s="40" t="n"/>
      <c r="J234" s="41" t="n"/>
      <c r="K234" s="41" t="n"/>
      <c r="L234" s="42" t="n"/>
      <c r="M234" s="43" t="n"/>
      <c r="N234" s="43" t="n"/>
      <c r="O234" s="44" t="n"/>
      <c r="P234" s="45" t="n"/>
      <c r="Q234" s="45" t="n"/>
      <c r="S234" s="39" t="n"/>
    </row>
    <row r="235" ht="15.75" customHeight="1">
      <c r="F235" s="39" t="n"/>
      <c r="I235" s="40" t="n"/>
      <c r="J235" s="41" t="n"/>
      <c r="K235" s="41" t="n"/>
      <c r="L235" s="42" t="n"/>
      <c r="M235" s="43" t="n"/>
      <c r="N235" s="43" t="n"/>
      <c r="O235" s="44" t="n"/>
      <c r="P235" s="45" t="n"/>
      <c r="Q235" s="45" t="n"/>
      <c r="S235" s="39" t="n"/>
    </row>
    <row r="236" ht="15.75" customHeight="1">
      <c r="F236" s="39" t="n"/>
      <c r="I236" s="40" t="n"/>
      <c r="J236" s="41" t="n"/>
      <c r="K236" s="41" t="n"/>
      <c r="L236" s="42" t="n"/>
      <c r="M236" s="43" t="n"/>
      <c r="N236" s="43" t="n"/>
      <c r="O236" s="44" t="n"/>
      <c r="P236" s="45" t="n"/>
      <c r="Q236" s="45" t="n"/>
      <c r="S236" s="39" t="n"/>
    </row>
    <row r="237" ht="15.75" customHeight="1">
      <c r="F237" s="39" t="n"/>
      <c r="I237" s="40" t="n"/>
      <c r="J237" s="41" t="n"/>
      <c r="K237" s="41" t="n"/>
      <c r="L237" s="42" t="n"/>
      <c r="M237" s="43" t="n"/>
      <c r="N237" s="43" t="n"/>
      <c r="O237" s="44" t="n"/>
      <c r="P237" s="45" t="n"/>
      <c r="Q237" s="45" t="n"/>
      <c r="S237" s="39" t="n"/>
    </row>
    <row r="238" ht="15.75" customHeight="1">
      <c r="F238" s="39" t="n"/>
      <c r="I238" s="40" t="n"/>
      <c r="J238" s="41" t="n"/>
      <c r="K238" s="41" t="n"/>
      <c r="L238" s="42" t="n"/>
      <c r="M238" s="43" t="n"/>
      <c r="N238" s="43" t="n"/>
      <c r="O238" s="44" t="n"/>
      <c r="P238" s="45" t="n"/>
      <c r="Q238" s="45" t="n"/>
      <c r="S238" s="39" t="n"/>
    </row>
    <row r="239" ht="15.75" customHeight="1">
      <c r="F239" s="39" t="n"/>
      <c r="I239" s="40" t="n"/>
      <c r="J239" s="41" t="n"/>
      <c r="K239" s="41" t="n"/>
      <c r="L239" s="42" t="n"/>
      <c r="M239" s="43" t="n"/>
      <c r="N239" s="43" t="n"/>
      <c r="O239" s="44" t="n"/>
      <c r="P239" s="45" t="n"/>
      <c r="Q239" s="45" t="n"/>
      <c r="S239" s="39" t="n"/>
    </row>
    <row r="240" ht="15.75" customHeight="1">
      <c r="F240" s="39" t="n"/>
      <c r="I240" s="40" t="n"/>
      <c r="J240" s="41" t="n"/>
      <c r="K240" s="41" t="n"/>
      <c r="L240" s="42" t="n"/>
      <c r="M240" s="43" t="n"/>
      <c r="N240" s="43" t="n"/>
      <c r="O240" s="44" t="n"/>
      <c r="P240" s="45" t="n"/>
      <c r="Q240" s="45" t="n"/>
      <c r="S240" s="39" t="n"/>
    </row>
    <row r="241" ht="15.75" customHeight="1">
      <c r="F241" s="39" t="n"/>
      <c r="I241" s="40" t="n"/>
      <c r="J241" s="41" t="n"/>
      <c r="K241" s="41" t="n"/>
      <c r="L241" s="42" t="n"/>
      <c r="M241" s="43" t="n"/>
      <c r="N241" s="43" t="n"/>
      <c r="O241" s="44" t="n"/>
      <c r="P241" s="45" t="n"/>
      <c r="Q241" s="45" t="n"/>
      <c r="S241" s="39" t="n"/>
    </row>
    <row r="242" ht="15.75" customHeight="1">
      <c r="F242" s="39" t="n"/>
      <c r="I242" s="40" t="n"/>
      <c r="J242" s="41" t="n"/>
      <c r="K242" s="41" t="n"/>
      <c r="L242" s="42" t="n"/>
      <c r="M242" s="43" t="n"/>
      <c r="N242" s="43" t="n"/>
      <c r="O242" s="44" t="n"/>
      <c r="P242" s="45" t="n"/>
      <c r="Q242" s="45" t="n"/>
      <c r="S242" s="39" t="n"/>
    </row>
    <row r="243" ht="15.75" customHeight="1">
      <c r="F243" s="39" t="n"/>
      <c r="I243" s="40" t="n"/>
      <c r="J243" s="41" t="n"/>
      <c r="K243" s="41" t="n"/>
      <c r="L243" s="42" t="n"/>
      <c r="M243" s="43" t="n"/>
      <c r="N243" s="43" t="n"/>
      <c r="O243" s="44" t="n"/>
      <c r="P243" s="45" t="n"/>
      <c r="Q243" s="45" t="n"/>
      <c r="S243" s="39" t="n"/>
    </row>
    <row r="244" ht="15.75" customHeight="1">
      <c r="F244" s="39" t="n"/>
      <c r="I244" s="40" t="n"/>
      <c r="J244" s="41" t="n"/>
      <c r="K244" s="41" t="n"/>
      <c r="L244" s="42" t="n"/>
      <c r="M244" s="43" t="n"/>
      <c r="N244" s="43" t="n"/>
      <c r="O244" s="44" t="n"/>
      <c r="P244" s="45" t="n"/>
      <c r="Q244" s="45" t="n"/>
      <c r="S244" s="39" t="n"/>
    </row>
    <row r="245" ht="15.75" customHeight="1">
      <c r="F245" s="39" t="n"/>
      <c r="I245" s="40" t="n"/>
      <c r="J245" s="41" t="n"/>
      <c r="K245" s="41" t="n"/>
      <c r="L245" s="42" t="n"/>
      <c r="M245" s="43" t="n"/>
      <c r="N245" s="43" t="n"/>
      <c r="O245" s="44" t="n"/>
      <c r="P245" s="45" t="n"/>
      <c r="Q245" s="45" t="n"/>
      <c r="S245" s="39" t="n"/>
    </row>
    <row r="246" ht="15.75" customHeight="1">
      <c r="F246" s="39" t="n"/>
      <c r="I246" s="40" t="n"/>
      <c r="J246" s="41" t="n"/>
      <c r="K246" s="41" t="n"/>
      <c r="L246" s="42" t="n"/>
      <c r="M246" s="43" t="n"/>
      <c r="N246" s="43" t="n"/>
      <c r="O246" s="44" t="n"/>
      <c r="P246" s="45" t="n"/>
      <c r="Q246" s="45" t="n"/>
      <c r="S246" s="39" t="n"/>
    </row>
    <row r="247" ht="15.75" customHeight="1">
      <c r="F247" s="39" t="n"/>
      <c r="I247" s="40" t="n"/>
      <c r="J247" s="41" t="n"/>
      <c r="K247" s="41" t="n"/>
      <c r="L247" s="42" t="n"/>
      <c r="M247" s="43" t="n"/>
      <c r="N247" s="43" t="n"/>
      <c r="O247" s="44" t="n"/>
      <c r="P247" s="45" t="n"/>
      <c r="Q247" s="45" t="n"/>
      <c r="S247" s="39" t="n"/>
    </row>
    <row r="248" ht="15.75" customHeight="1">
      <c r="F248" s="39" t="n"/>
      <c r="I248" s="40" t="n"/>
      <c r="J248" s="41" t="n"/>
      <c r="K248" s="41" t="n"/>
      <c r="L248" s="42" t="n"/>
      <c r="M248" s="43" t="n"/>
      <c r="N248" s="43" t="n"/>
      <c r="O248" s="44" t="n"/>
      <c r="P248" s="45" t="n"/>
      <c r="Q248" s="45" t="n"/>
      <c r="S248" s="39" t="n"/>
    </row>
    <row r="249" ht="15.75" customHeight="1">
      <c r="F249" s="39" t="n"/>
      <c r="I249" s="40" t="n"/>
      <c r="J249" s="41" t="n"/>
      <c r="K249" s="41" t="n"/>
      <c r="L249" s="42" t="n"/>
      <c r="M249" s="43" t="n"/>
      <c r="N249" s="43" t="n"/>
      <c r="O249" s="44" t="n"/>
      <c r="P249" s="45" t="n"/>
      <c r="Q249" s="45" t="n"/>
      <c r="S249" s="39" t="n"/>
    </row>
    <row r="250" ht="15.75" customHeight="1">
      <c r="F250" s="39" t="n"/>
      <c r="I250" s="40" t="n"/>
      <c r="J250" s="41" t="n"/>
      <c r="K250" s="41" t="n"/>
      <c r="L250" s="42" t="n"/>
      <c r="M250" s="43" t="n"/>
      <c r="N250" s="43" t="n"/>
      <c r="O250" s="44" t="n"/>
      <c r="P250" s="45" t="n"/>
      <c r="Q250" s="45" t="n"/>
      <c r="S250" s="39" t="n"/>
    </row>
    <row r="251" ht="15.75" customHeight="1">
      <c r="F251" s="39" t="n"/>
      <c r="I251" s="40" t="n"/>
      <c r="J251" s="41" t="n"/>
      <c r="K251" s="41" t="n"/>
      <c r="L251" s="42" t="n"/>
      <c r="M251" s="43" t="n"/>
      <c r="N251" s="43" t="n"/>
      <c r="O251" s="44" t="n"/>
      <c r="P251" s="45" t="n"/>
      <c r="Q251" s="45" t="n"/>
      <c r="S251" s="39" t="n"/>
    </row>
    <row r="252" ht="15.75" customHeight="1">
      <c r="F252" s="39" t="n"/>
      <c r="I252" s="40" t="n"/>
      <c r="J252" s="41" t="n"/>
      <c r="K252" s="41" t="n"/>
      <c r="L252" s="42" t="n"/>
      <c r="M252" s="43" t="n"/>
      <c r="N252" s="43" t="n"/>
      <c r="O252" s="44" t="n"/>
      <c r="P252" s="45" t="n"/>
      <c r="Q252" s="45" t="n"/>
      <c r="S252" s="39" t="n"/>
    </row>
    <row r="253" ht="15.75" customHeight="1">
      <c r="F253" s="39" t="n"/>
      <c r="I253" s="40" t="n"/>
      <c r="J253" s="41" t="n"/>
      <c r="K253" s="41" t="n"/>
      <c r="L253" s="42" t="n"/>
      <c r="M253" s="43" t="n"/>
      <c r="N253" s="43" t="n"/>
      <c r="O253" s="44" t="n"/>
      <c r="P253" s="45" t="n"/>
      <c r="Q253" s="45" t="n"/>
      <c r="S253" s="39" t="n"/>
    </row>
    <row r="254" ht="15.75" customHeight="1">
      <c r="F254" s="39" t="n"/>
      <c r="I254" s="40" t="n"/>
      <c r="J254" s="41" t="n"/>
      <c r="K254" s="41" t="n"/>
      <c r="L254" s="42" t="n"/>
      <c r="M254" s="43" t="n"/>
      <c r="N254" s="43" t="n"/>
      <c r="O254" s="44" t="n"/>
      <c r="P254" s="45" t="n"/>
      <c r="Q254" s="45" t="n"/>
      <c r="S254" s="39" t="n"/>
    </row>
    <row r="255" ht="15.75" customHeight="1">
      <c r="F255" s="39" t="n"/>
      <c r="I255" s="40" t="n"/>
      <c r="J255" s="41" t="n"/>
      <c r="K255" s="41" t="n"/>
      <c r="L255" s="42" t="n"/>
      <c r="M255" s="43" t="n"/>
      <c r="N255" s="43" t="n"/>
      <c r="O255" s="44" t="n"/>
      <c r="P255" s="45" t="n"/>
      <c r="Q255" s="45" t="n"/>
      <c r="S255" s="39" t="n"/>
    </row>
    <row r="256" ht="15.75" customHeight="1">
      <c r="F256" s="39" t="n"/>
      <c r="I256" s="40" t="n"/>
      <c r="J256" s="41" t="n"/>
      <c r="K256" s="41" t="n"/>
      <c r="L256" s="42" t="n"/>
      <c r="M256" s="43" t="n"/>
      <c r="N256" s="43" t="n"/>
      <c r="O256" s="44" t="n"/>
      <c r="P256" s="45" t="n"/>
      <c r="Q256" s="45" t="n"/>
      <c r="S256" s="39" t="n"/>
    </row>
    <row r="257" ht="15.75" customHeight="1">
      <c r="F257" s="39" t="n"/>
      <c r="I257" s="40" t="n"/>
      <c r="J257" s="41" t="n"/>
      <c r="K257" s="41" t="n"/>
      <c r="L257" s="42" t="n"/>
      <c r="M257" s="43" t="n"/>
      <c r="N257" s="43" t="n"/>
      <c r="O257" s="44" t="n"/>
      <c r="P257" s="45" t="n"/>
      <c r="Q257" s="45" t="n"/>
      <c r="S257" s="39" t="n"/>
    </row>
    <row r="258" ht="15.75" customHeight="1">
      <c r="F258" s="39" t="n"/>
      <c r="I258" s="40" t="n"/>
      <c r="J258" s="41" t="n"/>
      <c r="K258" s="41" t="n"/>
      <c r="L258" s="42" t="n"/>
      <c r="M258" s="43" t="n"/>
      <c r="N258" s="43" t="n"/>
      <c r="O258" s="44" t="n"/>
      <c r="P258" s="45" t="n"/>
      <c r="Q258" s="45" t="n"/>
      <c r="S258" s="39" t="n"/>
    </row>
    <row r="259" ht="15.75" customHeight="1">
      <c r="F259" s="39" t="n"/>
      <c r="I259" s="40" t="n"/>
      <c r="J259" s="41" t="n"/>
      <c r="K259" s="41" t="n"/>
      <c r="L259" s="42" t="n"/>
      <c r="M259" s="43" t="n"/>
      <c r="N259" s="43" t="n"/>
      <c r="O259" s="44" t="n"/>
      <c r="P259" s="45" t="n"/>
      <c r="Q259" s="45" t="n"/>
      <c r="S259" s="39" t="n"/>
    </row>
    <row r="260" ht="15.75" customHeight="1">
      <c r="F260" s="39" t="n"/>
      <c r="I260" s="40" t="n"/>
      <c r="J260" s="41" t="n"/>
      <c r="K260" s="41" t="n"/>
      <c r="L260" s="42" t="n"/>
      <c r="M260" s="43" t="n"/>
      <c r="N260" s="43" t="n"/>
      <c r="O260" s="44" t="n"/>
      <c r="P260" s="45" t="n"/>
      <c r="Q260" s="45" t="n"/>
      <c r="S260" s="39" t="n"/>
    </row>
    <row r="261" ht="15.75" customHeight="1">
      <c r="F261" s="39" t="n"/>
      <c r="I261" s="40" t="n"/>
      <c r="J261" s="41" t="n"/>
      <c r="K261" s="41" t="n"/>
      <c r="L261" s="42" t="n"/>
      <c r="M261" s="43" t="n"/>
      <c r="N261" s="43" t="n"/>
      <c r="O261" s="44" t="n"/>
      <c r="P261" s="45" t="n"/>
      <c r="Q261" s="45" t="n"/>
      <c r="S261" s="39" t="n"/>
    </row>
    <row r="262" ht="15.75" customHeight="1">
      <c r="F262" s="39" t="n"/>
      <c r="I262" s="40" t="n"/>
      <c r="J262" s="41" t="n"/>
      <c r="K262" s="41" t="n"/>
      <c r="L262" s="42" t="n"/>
      <c r="M262" s="43" t="n"/>
      <c r="N262" s="43" t="n"/>
      <c r="O262" s="44" t="n"/>
      <c r="P262" s="45" t="n"/>
      <c r="Q262" s="45" t="n"/>
      <c r="S262" s="39" t="n"/>
    </row>
    <row r="263" ht="15.75" customHeight="1">
      <c r="F263" s="39" t="n"/>
      <c r="I263" s="40" t="n"/>
      <c r="J263" s="41" t="n"/>
      <c r="K263" s="41" t="n"/>
      <c r="L263" s="42" t="n"/>
      <c r="M263" s="43" t="n"/>
      <c r="N263" s="43" t="n"/>
      <c r="O263" s="44" t="n"/>
      <c r="P263" s="45" t="n"/>
      <c r="Q263" s="45" t="n"/>
      <c r="S263" s="39" t="n"/>
    </row>
    <row r="264" ht="15.75" customHeight="1">
      <c r="F264" s="39" t="n"/>
      <c r="I264" s="40" t="n"/>
      <c r="J264" s="41" t="n"/>
      <c r="K264" s="41" t="n"/>
      <c r="L264" s="42" t="n"/>
      <c r="M264" s="43" t="n"/>
      <c r="N264" s="43" t="n"/>
      <c r="O264" s="44" t="n"/>
      <c r="P264" s="45" t="n"/>
      <c r="Q264" s="45" t="n"/>
      <c r="S264" s="39" t="n"/>
    </row>
    <row r="265" ht="15.75" customHeight="1">
      <c r="F265" s="39" t="n"/>
      <c r="I265" s="40" t="n"/>
      <c r="J265" s="41" t="n"/>
      <c r="K265" s="41" t="n"/>
      <c r="L265" s="42" t="n"/>
      <c r="M265" s="43" t="n"/>
      <c r="N265" s="43" t="n"/>
      <c r="O265" s="44" t="n"/>
      <c r="P265" s="45" t="n"/>
      <c r="Q265" s="45" t="n"/>
      <c r="S265" s="39" t="n"/>
    </row>
    <row r="266" ht="15.75" customHeight="1">
      <c r="F266" s="39" t="n"/>
      <c r="I266" s="40" t="n"/>
      <c r="J266" s="41" t="n"/>
      <c r="K266" s="41" t="n"/>
      <c r="L266" s="42" t="n"/>
      <c r="M266" s="43" t="n"/>
      <c r="N266" s="43" t="n"/>
      <c r="O266" s="44" t="n"/>
      <c r="P266" s="45" t="n"/>
      <c r="Q266" s="45" t="n"/>
      <c r="S266" s="39" t="n"/>
    </row>
    <row r="267" ht="15.75" customHeight="1">
      <c r="F267" s="39" t="n"/>
      <c r="I267" s="40" t="n"/>
      <c r="J267" s="41" t="n"/>
      <c r="K267" s="41" t="n"/>
      <c r="L267" s="42" t="n"/>
      <c r="M267" s="43" t="n"/>
      <c r="N267" s="43" t="n"/>
      <c r="O267" s="44" t="n"/>
      <c r="P267" s="45" t="n"/>
      <c r="Q267" s="45" t="n"/>
      <c r="S267" s="39" t="n"/>
    </row>
    <row r="268" ht="15.75" customHeight="1">
      <c r="F268" s="39" t="n"/>
      <c r="I268" s="40" t="n"/>
      <c r="J268" s="41" t="n"/>
      <c r="K268" s="41" t="n"/>
      <c r="L268" s="42" t="n"/>
      <c r="M268" s="43" t="n"/>
      <c r="N268" s="43" t="n"/>
      <c r="O268" s="44" t="n"/>
      <c r="P268" s="45" t="n"/>
      <c r="Q268" s="45" t="n"/>
      <c r="S268" s="39" t="n"/>
    </row>
    <row r="269" ht="15.75" customHeight="1">
      <c r="F269" s="39" t="n"/>
      <c r="I269" s="40" t="n"/>
      <c r="J269" s="41" t="n"/>
      <c r="K269" s="41" t="n"/>
      <c r="L269" s="42" t="n"/>
      <c r="M269" s="43" t="n"/>
      <c r="N269" s="43" t="n"/>
      <c r="O269" s="44" t="n"/>
      <c r="P269" s="45" t="n"/>
      <c r="Q269" s="45" t="n"/>
      <c r="S269" s="39" t="n"/>
    </row>
    <row r="270" ht="15.75" customHeight="1">
      <c r="F270" s="39" t="n"/>
      <c r="I270" s="40" t="n"/>
      <c r="J270" s="41" t="n"/>
      <c r="K270" s="41" t="n"/>
      <c r="L270" s="42" t="n"/>
      <c r="M270" s="43" t="n"/>
      <c r="N270" s="43" t="n"/>
      <c r="O270" s="44" t="n"/>
      <c r="P270" s="45" t="n"/>
      <c r="Q270" s="45" t="n"/>
      <c r="S270" s="39" t="n"/>
    </row>
    <row r="271" ht="15.75" customHeight="1">
      <c r="F271" s="39" t="n"/>
      <c r="I271" s="40" t="n"/>
      <c r="J271" s="41" t="n"/>
      <c r="K271" s="41" t="n"/>
      <c r="L271" s="42" t="n"/>
      <c r="M271" s="43" t="n"/>
      <c r="N271" s="43" t="n"/>
      <c r="O271" s="44" t="n"/>
      <c r="P271" s="45" t="n"/>
      <c r="Q271" s="45" t="n"/>
      <c r="S271" s="39" t="n"/>
    </row>
    <row r="272" ht="15.75" customHeight="1">
      <c r="F272" s="39" t="n"/>
      <c r="I272" s="40" t="n"/>
      <c r="J272" s="41" t="n"/>
      <c r="K272" s="41" t="n"/>
      <c r="L272" s="42" t="n"/>
      <c r="M272" s="43" t="n"/>
      <c r="N272" s="43" t="n"/>
      <c r="O272" s="44" t="n"/>
      <c r="P272" s="45" t="n"/>
      <c r="Q272" s="45" t="n"/>
      <c r="S272" s="39" t="n"/>
    </row>
    <row r="273" ht="15.75" customHeight="1">
      <c r="F273" s="39" t="n"/>
      <c r="I273" s="40" t="n"/>
      <c r="J273" s="41" t="n"/>
      <c r="K273" s="41" t="n"/>
      <c r="L273" s="42" t="n"/>
      <c r="M273" s="43" t="n"/>
      <c r="N273" s="43" t="n"/>
      <c r="O273" s="44" t="n"/>
      <c r="P273" s="45" t="n"/>
      <c r="Q273" s="45" t="n"/>
      <c r="S273" s="39" t="n"/>
    </row>
    <row r="274" ht="15.75" customHeight="1">
      <c r="F274" s="39" t="n"/>
      <c r="I274" s="40" t="n"/>
      <c r="J274" s="41" t="n"/>
      <c r="K274" s="41" t="n"/>
      <c r="L274" s="42" t="n"/>
      <c r="M274" s="43" t="n"/>
      <c r="N274" s="43" t="n"/>
      <c r="O274" s="44" t="n"/>
      <c r="P274" s="45" t="n"/>
      <c r="Q274" s="45" t="n"/>
      <c r="S274" s="39" t="n"/>
    </row>
    <row r="275" ht="15.75" customHeight="1">
      <c r="F275" s="39" t="n"/>
      <c r="I275" s="40" t="n"/>
      <c r="J275" s="41" t="n"/>
      <c r="K275" s="41" t="n"/>
      <c r="L275" s="42" t="n"/>
      <c r="M275" s="43" t="n"/>
      <c r="N275" s="43" t="n"/>
      <c r="O275" s="44" t="n"/>
      <c r="P275" s="45" t="n"/>
      <c r="Q275" s="45" t="n"/>
      <c r="S275" s="39" t="n"/>
    </row>
    <row r="276" ht="15.75" customHeight="1">
      <c r="F276" s="39" t="n"/>
      <c r="I276" s="40" t="n"/>
      <c r="J276" s="41" t="n"/>
      <c r="K276" s="41" t="n"/>
      <c r="L276" s="42" t="n"/>
      <c r="M276" s="43" t="n"/>
      <c r="N276" s="43" t="n"/>
      <c r="O276" s="44" t="n"/>
      <c r="P276" s="45" t="n"/>
      <c r="Q276" s="45" t="n"/>
      <c r="S276" s="39" t="n"/>
    </row>
    <row r="277" ht="15.75" customHeight="1">
      <c r="F277" s="39" t="n"/>
      <c r="I277" s="40" t="n"/>
      <c r="J277" s="41" t="n"/>
      <c r="K277" s="41" t="n"/>
      <c r="L277" s="42" t="n"/>
      <c r="M277" s="43" t="n"/>
      <c r="N277" s="43" t="n"/>
      <c r="O277" s="44" t="n"/>
      <c r="P277" s="45" t="n"/>
      <c r="Q277" s="45" t="n"/>
      <c r="S277" s="39" t="n"/>
    </row>
    <row r="278" ht="15.75" customHeight="1">
      <c r="F278" s="39" t="n"/>
      <c r="I278" s="40" t="n"/>
      <c r="J278" s="41" t="n"/>
      <c r="K278" s="41" t="n"/>
      <c r="L278" s="42" t="n"/>
      <c r="M278" s="43" t="n"/>
      <c r="N278" s="43" t="n"/>
      <c r="O278" s="44" t="n"/>
      <c r="P278" s="45" t="n"/>
      <c r="Q278" s="45" t="n"/>
      <c r="S278" s="39" t="n"/>
    </row>
    <row r="279" ht="15.75" customHeight="1">
      <c r="F279" s="39" t="n"/>
      <c r="I279" s="40" t="n"/>
      <c r="J279" s="41" t="n"/>
      <c r="K279" s="41" t="n"/>
      <c r="L279" s="42" t="n"/>
      <c r="M279" s="43" t="n"/>
      <c r="N279" s="43" t="n"/>
      <c r="O279" s="44" t="n"/>
      <c r="P279" s="45" t="n"/>
      <c r="Q279" s="45" t="n"/>
      <c r="S279" s="39" t="n"/>
    </row>
    <row r="280" ht="15.75" customHeight="1">
      <c r="F280" s="39" t="n"/>
      <c r="I280" s="40" t="n"/>
      <c r="J280" s="41" t="n"/>
      <c r="K280" s="41" t="n"/>
      <c r="L280" s="42" t="n"/>
      <c r="M280" s="43" t="n"/>
      <c r="N280" s="43" t="n"/>
      <c r="O280" s="44" t="n"/>
      <c r="P280" s="45" t="n"/>
      <c r="Q280" s="45" t="n"/>
      <c r="S280" s="39" t="n"/>
    </row>
    <row r="281" ht="15.75" customHeight="1">
      <c r="F281" s="39" t="n"/>
      <c r="I281" s="40" t="n"/>
      <c r="J281" s="41" t="n"/>
      <c r="K281" s="41" t="n"/>
      <c r="L281" s="42" t="n"/>
      <c r="M281" s="43" t="n"/>
      <c r="N281" s="43" t="n"/>
      <c r="O281" s="44" t="n"/>
      <c r="P281" s="45" t="n"/>
      <c r="Q281" s="45" t="n"/>
      <c r="S281" s="39" t="n"/>
    </row>
    <row r="282" ht="15.75" customHeight="1">
      <c r="F282" s="39" t="n"/>
      <c r="I282" s="40" t="n"/>
      <c r="J282" s="41" t="n"/>
      <c r="K282" s="41" t="n"/>
      <c r="L282" s="42" t="n"/>
      <c r="M282" s="43" t="n"/>
      <c r="N282" s="43" t="n"/>
      <c r="O282" s="44" t="n"/>
      <c r="P282" s="45" t="n"/>
      <c r="Q282" s="45" t="n"/>
      <c r="S282" s="39" t="n"/>
    </row>
    <row r="283" ht="15.75" customHeight="1">
      <c r="F283" s="39" t="n"/>
      <c r="I283" s="40" t="n"/>
      <c r="J283" s="41" t="n"/>
      <c r="K283" s="41" t="n"/>
      <c r="L283" s="42" t="n"/>
      <c r="M283" s="43" t="n"/>
      <c r="N283" s="43" t="n"/>
      <c r="O283" s="44" t="n"/>
      <c r="P283" s="45" t="n"/>
      <c r="Q283" s="45" t="n"/>
      <c r="S283" s="39" t="n"/>
    </row>
    <row r="284" ht="15.75" customHeight="1">
      <c r="F284" s="39" t="n"/>
      <c r="I284" s="40" t="n"/>
      <c r="J284" s="41" t="n"/>
      <c r="K284" s="41" t="n"/>
      <c r="L284" s="42" t="n"/>
      <c r="M284" s="43" t="n"/>
      <c r="N284" s="43" t="n"/>
      <c r="O284" s="44" t="n"/>
      <c r="P284" s="45" t="n"/>
      <c r="Q284" s="45" t="n"/>
      <c r="S284" s="39" t="n"/>
    </row>
    <row r="285" ht="15.75" customHeight="1">
      <c r="F285" s="39" t="n"/>
      <c r="I285" s="40" t="n"/>
      <c r="J285" s="41" t="n"/>
      <c r="K285" s="41" t="n"/>
      <c r="L285" s="42" t="n"/>
      <c r="M285" s="43" t="n"/>
      <c r="N285" s="43" t="n"/>
      <c r="O285" s="44" t="n"/>
      <c r="P285" s="45" t="n"/>
      <c r="Q285" s="45" t="n"/>
      <c r="S285" s="39" t="n"/>
    </row>
    <row r="286" ht="15.75" customHeight="1">
      <c r="F286" s="39" t="n"/>
      <c r="I286" s="40" t="n"/>
      <c r="J286" s="41" t="n"/>
      <c r="K286" s="41" t="n"/>
      <c r="L286" s="42" t="n"/>
      <c r="M286" s="43" t="n"/>
      <c r="N286" s="43" t="n"/>
      <c r="O286" s="44" t="n"/>
      <c r="P286" s="45" t="n"/>
      <c r="Q286" s="45" t="n"/>
      <c r="S286" s="39" t="n"/>
    </row>
    <row r="287" ht="15.75" customHeight="1">
      <c r="F287" s="39" t="n"/>
      <c r="I287" s="40" t="n"/>
      <c r="J287" s="41" t="n"/>
      <c r="K287" s="41" t="n"/>
      <c r="L287" s="42" t="n"/>
      <c r="M287" s="43" t="n"/>
      <c r="N287" s="43" t="n"/>
      <c r="O287" s="44" t="n"/>
      <c r="P287" s="45" t="n"/>
      <c r="Q287" s="45" t="n"/>
      <c r="S287" s="39" t="n"/>
    </row>
    <row r="288" ht="15.75" customHeight="1">
      <c r="F288" s="39" t="n"/>
      <c r="I288" s="40" t="n"/>
      <c r="J288" s="41" t="n"/>
      <c r="K288" s="41" t="n"/>
      <c r="L288" s="42" t="n"/>
      <c r="M288" s="43" t="n"/>
      <c r="N288" s="43" t="n"/>
      <c r="O288" s="44" t="n"/>
      <c r="P288" s="45" t="n"/>
      <c r="Q288" s="45" t="n"/>
      <c r="S288" s="39" t="n"/>
    </row>
    <row r="289" ht="15.75" customHeight="1">
      <c r="F289" s="39" t="n"/>
      <c r="I289" s="40" t="n"/>
      <c r="J289" s="41" t="n"/>
      <c r="K289" s="41" t="n"/>
      <c r="L289" s="42" t="n"/>
      <c r="M289" s="43" t="n"/>
      <c r="N289" s="43" t="n"/>
      <c r="O289" s="44" t="n"/>
      <c r="P289" s="45" t="n"/>
      <c r="Q289" s="45" t="n"/>
      <c r="S289" s="39" t="n"/>
    </row>
    <row r="290" ht="15.75" customHeight="1">
      <c r="F290" s="39" t="n"/>
      <c r="I290" s="40" t="n"/>
      <c r="J290" s="41" t="n"/>
      <c r="K290" s="41" t="n"/>
      <c r="L290" s="42" t="n"/>
      <c r="M290" s="43" t="n"/>
      <c r="N290" s="43" t="n"/>
      <c r="O290" s="44" t="n"/>
      <c r="P290" s="45" t="n"/>
      <c r="Q290" s="45" t="n"/>
      <c r="S290" s="39" t="n"/>
    </row>
    <row r="291" ht="15.75" customHeight="1">
      <c r="F291" s="39" t="n"/>
      <c r="I291" s="40" t="n"/>
      <c r="J291" s="41" t="n"/>
      <c r="K291" s="41" t="n"/>
      <c r="L291" s="42" t="n"/>
      <c r="M291" s="43" t="n"/>
      <c r="N291" s="43" t="n"/>
      <c r="O291" s="44" t="n"/>
      <c r="P291" s="45" t="n"/>
      <c r="Q291" s="45" t="n"/>
      <c r="S291" s="39" t="n"/>
    </row>
    <row r="292" ht="15.75" customHeight="1">
      <c r="F292" s="39" t="n"/>
      <c r="I292" s="40" t="n"/>
      <c r="J292" s="41" t="n"/>
      <c r="K292" s="41" t="n"/>
      <c r="L292" s="42" t="n"/>
      <c r="M292" s="43" t="n"/>
      <c r="N292" s="43" t="n"/>
      <c r="O292" s="44" t="n"/>
      <c r="P292" s="45" t="n"/>
      <c r="Q292" s="45" t="n"/>
      <c r="S292" s="39" t="n"/>
    </row>
    <row r="293" ht="15.75" customHeight="1">
      <c r="F293" s="39" t="n"/>
      <c r="I293" s="40" t="n"/>
      <c r="J293" s="41" t="n"/>
      <c r="K293" s="41" t="n"/>
      <c r="L293" s="42" t="n"/>
      <c r="M293" s="43" t="n"/>
      <c r="N293" s="43" t="n"/>
      <c r="O293" s="44" t="n"/>
      <c r="P293" s="45" t="n"/>
      <c r="Q293" s="45" t="n"/>
      <c r="S293" s="39" t="n"/>
    </row>
    <row r="294" ht="15.75" customHeight="1">
      <c r="F294" s="39" t="n"/>
      <c r="I294" s="40" t="n"/>
      <c r="J294" s="41" t="n"/>
      <c r="K294" s="41" t="n"/>
      <c r="L294" s="42" t="n"/>
      <c r="M294" s="43" t="n"/>
      <c r="N294" s="43" t="n"/>
      <c r="O294" s="44" t="n"/>
      <c r="P294" s="45" t="n"/>
      <c r="Q294" s="45" t="n"/>
      <c r="S294" s="39" t="n"/>
    </row>
    <row r="295" ht="15.75" customHeight="1">
      <c r="F295" s="39" t="n"/>
      <c r="I295" s="40" t="n"/>
      <c r="J295" s="41" t="n"/>
      <c r="K295" s="41" t="n"/>
      <c r="L295" s="42" t="n"/>
      <c r="M295" s="43" t="n"/>
      <c r="N295" s="43" t="n"/>
      <c r="O295" s="44" t="n"/>
      <c r="P295" s="45" t="n"/>
      <c r="Q295" s="45" t="n"/>
      <c r="S295" s="39" t="n"/>
    </row>
    <row r="296" ht="15.75" customHeight="1">
      <c r="F296" s="39" t="n"/>
      <c r="I296" s="40" t="n"/>
      <c r="J296" s="41" t="n"/>
      <c r="K296" s="41" t="n"/>
      <c r="L296" s="42" t="n"/>
      <c r="M296" s="43" t="n"/>
      <c r="N296" s="43" t="n"/>
      <c r="O296" s="44" t="n"/>
      <c r="P296" s="45" t="n"/>
      <c r="Q296" s="45" t="n"/>
      <c r="S296" s="39" t="n"/>
    </row>
    <row r="297" ht="15.75" customHeight="1">
      <c r="F297" s="39" t="n"/>
      <c r="I297" s="40" t="n"/>
      <c r="J297" s="41" t="n"/>
      <c r="K297" s="41" t="n"/>
      <c r="L297" s="42" t="n"/>
      <c r="M297" s="43" t="n"/>
      <c r="N297" s="43" t="n"/>
      <c r="O297" s="44" t="n"/>
      <c r="P297" s="45" t="n"/>
      <c r="Q297" s="45" t="n"/>
      <c r="S297" s="39" t="n"/>
    </row>
    <row r="298" ht="15.75" customHeight="1">
      <c r="F298" s="39" t="n"/>
      <c r="I298" s="40" t="n"/>
      <c r="J298" s="41" t="n"/>
      <c r="K298" s="41" t="n"/>
      <c r="L298" s="42" t="n"/>
      <c r="M298" s="43" t="n"/>
      <c r="N298" s="43" t="n"/>
      <c r="O298" s="44" t="n"/>
      <c r="P298" s="45" t="n"/>
      <c r="Q298" s="45" t="n"/>
      <c r="S298" s="39" t="n"/>
    </row>
    <row r="299" ht="15.75" customHeight="1">
      <c r="F299" s="39" t="n"/>
      <c r="I299" s="40" t="n"/>
      <c r="J299" s="41" t="n"/>
      <c r="K299" s="41" t="n"/>
      <c r="L299" s="42" t="n"/>
      <c r="M299" s="43" t="n"/>
      <c r="N299" s="43" t="n"/>
      <c r="O299" s="44" t="n"/>
      <c r="P299" s="45" t="n"/>
      <c r="Q299" s="45" t="n"/>
      <c r="S299" s="39" t="n"/>
    </row>
    <row r="300" ht="15.75" customHeight="1">
      <c r="F300" s="39" t="n"/>
      <c r="I300" s="40" t="n"/>
      <c r="J300" s="41" t="n"/>
      <c r="K300" s="41" t="n"/>
      <c r="L300" s="42" t="n"/>
      <c r="M300" s="43" t="n"/>
      <c r="N300" s="43" t="n"/>
      <c r="O300" s="44" t="n"/>
      <c r="P300" s="45" t="n"/>
      <c r="Q300" s="45" t="n"/>
      <c r="S300" s="39" t="n"/>
    </row>
    <row r="301" ht="15.75" customHeight="1">
      <c r="F301" s="39" t="n"/>
      <c r="I301" s="40" t="n"/>
      <c r="J301" s="41" t="n"/>
      <c r="K301" s="41" t="n"/>
      <c r="L301" s="42" t="n"/>
      <c r="M301" s="43" t="n"/>
      <c r="N301" s="43" t="n"/>
      <c r="O301" s="44" t="n"/>
      <c r="P301" s="45" t="n"/>
      <c r="Q301" s="45" t="n"/>
      <c r="S301" s="39" t="n"/>
    </row>
    <row r="302" ht="15.75" customHeight="1">
      <c r="F302" s="39" t="n"/>
      <c r="I302" s="40" t="n"/>
      <c r="J302" s="41" t="n"/>
      <c r="K302" s="41" t="n"/>
      <c r="L302" s="42" t="n"/>
      <c r="M302" s="43" t="n"/>
      <c r="N302" s="43" t="n"/>
      <c r="O302" s="44" t="n"/>
      <c r="P302" s="45" t="n"/>
      <c r="Q302" s="45" t="n"/>
      <c r="S302" s="39" t="n"/>
    </row>
    <row r="303" ht="15.75" customHeight="1">
      <c r="F303" s="39" t="n"/>
      <c r="I303" s="40" t="n"/>
      <c r="J303" s="41" t="n"/>
      <c r="K303" s="41" t="n"/>
      <c r="L303" s="42" t="n"/>
      <c r="M303" s="43" t="n"/>
      <c r="N303" s="43" t="n"/>
      <c r="O303" s="44" t="n"/>
      <c r="P303" s="45" t="n"/>
      <c r="Q303" s="45" t="n"/>
      <c r="S303" s="39" t="n"/>
    </row>
    <row r="304" ht="15.75" customHeight="1">
      <c r="F304" s="39" t="n"/>
      <c r="I304" s="40" t="n"/>
      <c r="J304" s="41" t="n"/>
      <c r="K304" s="41" t="n"/>
      <c r="L304" s="42" t="n"/>
      <c r="M304" s="43" t="n"/>
      <c r="N304" s="43" t="n"/>
      <c r="O304" s="44" t="n"/>
      <c r="P304" s="45" t="n"/>
      <c r="Q304" s="45" t="n"/>
      <c r="S304" s="39" t="n"/>
    </row>
    <row r="305" ht="15.75" customHeight="1">
      <c r="F305" s="39" t="n"/>
      <c r="I305" s="40" t="n"/>
      <c r="J305" s="41" t="n"/>
      <c r="K305" s="41" t="n"/>
      <c r="L305" s="42" t="n"/>
      <c r="M305" s="43" t="n"/>
      <c r="N305" s="43" t="n"/>
      <c r="O305" s="44" t="n"/>
      <c r="P305" s="45" t="n"/>
      <c r="Q305" s="45" t="n"/>
      <c r="S305" s="39" t="n"/>
    </row>
    <row r="306" ht="15.75" customHeight="1">
      <c r="F306" s="39" t="n"/>
      <c r="I306" s="40" t="n"/>
      <c r="J306" s="41" t="n"/>
      <c r="K306" s="41" t="n"/>
      <c r="L306" s="42" t="n"/>
      <c r="M306" s="43" t="n"/>
      <c r="N306" s="43" t="n"/>
      <c r="O306" s="44" t="n"/>
      <c r="P306" s="45" t="n"/>
      <c r="Q306" s="45" t="n"/>
      <c r="S306" s="39" t="n"/>
    </row>
    <row r="307" ht="15.75" customHeight="1">
      <c r="F307" s="39" t="n"/>
      <c r="I307" s="40" t="n"/>
      <c r="J307" s="41" t="n"/>
      <c r="K307" s="41" t="n"/>
      <c r="L307" s="42" t="n"/>
      <c r="M307" s="43" t="n"/>
      <c r="N307" s="43" t="n"/>
      <c r="O307" s="44" t="n"/>
      <c r="P307" s="45" t="n"/>
      <c r="Q307" s="45" t="n"/>
      <c r="S307" s="39" t="n"/>
    </row>
    <row r="308" ht="15.75" customHeight="1">
      <c r="F308" s="39" t="n"/>
      <c r="I308" s="40" t="n"/>
      <c r="J308" s="41" t="n"/>
      <c r="K308" s="41" t="n"/>
      <c r="L308" s="42" t="n"/>
      <c r="M308" s="43" t="n"/>
      <c r="N308" s="43" t="n"/>
      <c r="O308" s="44" t="n"/>
      <c r="P308" s="45" t="n"/>
      <c r="Q308" s="45" t="n"/>
      <c r="S308" s="39" t="n"/>
    </row>
    <row r="309" ht="15.75" customHeight="1">
      <c r="F309" s="39" t="n"/>
      <c r="I309" s="40" t="n"/>
      <c r="J309" s="41" t="n"/>
      <c r="K309" s="41" t="n"/>
      <c r="L309" s="42" t="n"/>
      <c r="M309" s="43" t="n"/>
      <c r="N309" s="43" t="n"/>
      <c r="O309" s="44" t="n"/>
      <c r="P309" s="45" t="n"/>
      <c r="Q309" s="45" t="n"/>
      <c r="S309" s="39" t="n"/>
    </row>
    <row r="310" ht="15.75" customHeight="1">
      <c r="F310" s="39" t="n"/>
      <c r="I310" s="40" t="n"/>
      <c r="J310" s="41" t="n"/>
      <c r="K310" s="41" t="n"/>
      <c r="L310" s="42" t="n"/>
      <c r="M310" s="43" t="n"/>
      <c r="N310" s="43" t="n"/>
      <c r="O310" s="44" t="n"/>
      <c r="P310" s="45" t="n"/>
      <c r="Q310" s="45" t="n"/>
      <c r="S310" s="39" t="n"/>
    </row>
    <row r="311" ht="15.75" customHeight="1">
      <c r="F311" s="39" t="n"/>
      <c r="I311" s="40" t="n"/>
      <c r="J311" s="41" t="n"/>
      <c r="K311" s="41" t="n"/>
      <c r="L311" s="42" t="n"/>
      <c r="M311" s="43" t="n"/>
      <c r="N311" s="43" t="n"/>
      <c r="O311" s="44" t="n"/>
      <c r="P311" s="45" t="n"/>
      <c r="Q311" s="45" t="n"/>
      <c r="S311" s="39" t="n"/>
    </row>
    <row r="312" ht="15.75" customHeight="1">
      <c r="F312" s="39" t="n"/>
      <c r="I312" s="40" t="n"/>
      <c r="J312" s="41" t="n"/>
      <c r="K312" s="41" t="n"/>
      <c r="L312" s="42" t="n"/>
      <c r="M312" s="43" t="n"/>
      <c r="N312" s="43" t="n"/>
      <c r="O312" s="44" t="n"/>
      <c r="P312" s="45" t="n"/>
      <c r="Q312" s="45" t="n"/>
      <c r="S312" s="39" t="n"/>
    </row>
    <row r="313" ht="15.75" customHeight="1">
      <c r="F313" s="39" t="n"/>
      <c r="I313" s="40" t="n"/>
      <c r="J313" s="41" t="n"/>
      <c r="K313" s="41" t="n"/>
      <c r="L313" s="42" t="n"/>
      <c r="M313" s="43" t="n"/>
      <c r="N313" s="43" t="n"/>
      <c r="O313" s="44" t="n"/>
      <c r="P313" s="45" t="n"/>
      <c r="Q313" s="45" t="n"/>
      <c r="S313" s="39" t="n"/>
    </row>
    <row r="314" ht="15.75" customHeight="1">
      <c r="F314" s="39" t="n"/>
      <c r="I314" s="40" t="n"/>
      <c r="J314" s="41" t="n"/>
      <c r="K314" s="41" t="n"/>
      <c r="L314" s="42" t="n"/>
      <c r="M314" s="43" t="n"/>
      <c r="N314" s="43" t="n"/>
      <c r="O314" s="44" t="n"/>
      <c r="P314" s="45" t="n"/>
      <c r="Q314" s="45" t="n"/>
      <c r="S314" s="39" t="n"/>
    </row>
    <row r="315" ht="15.75" customHeight="1">
      <c r="F315" s="39" t="n"/>
      <c r="I315" s="40" t="n"/>
      <c r="J315" s="41" t="n"/>
      <c r="K315" s="41" t="n"/>
      <c r="L315" s="42" t="n"/>
      <c r="M315" s="43" t="n"/>
      <c r="N315" s="43" t="n"/>
      <c r="O315" s="44" t="n"/>
      <c r="P315" s="45" t="n"/>
      <c r="Q315" s="45" t="n"/>
      <c r="S315" s="39" t="n"/>
    </row>
    <row r="316" ht="15.75" customHeight="1">
      <c r="F316" s="39" t="n"/>
      <c r="I316" s="40" t="n"/>
      <c r="J316" s="41" t="n"/>
      <c r="K316" s="41" t="n"/>
      <c r="L316" s="42" t="n"/>
      <c r="M316" s="43" t="n"/>
      <c r="N316" s="43" t="n"/>
      <c r="O316" s="44" t="n"/>
      <c r="P316" s="45" t="n"/>
      <c r="Q316" s="45" t="n"/>
      <c r="S316" s="39" t="n"/>
    </row>
    <row r="317" ht="15.75" customHeight="1">
      <c r="F317" s="39" t="n"/>
      <c r="I317" s="40" t="n"/>
      <c r="J317" s="41" t="n"/>
      <c r="K317" s="41" t="n"/>
      <c r="L317" s="42" t="n"/>
      <c r="M317" s="43" t="n"/>
      <c r="N317" s="43" t="n"/>
      <c r="O317" s="44" t="n"/>
      <c r="P317" s="45" t="n"/>
      <c r="Q317" s="45" t="n"/>
      <c r="S317" s="39" t="n"/>
    </row>
    <row r="318" ht="15.75" customHeight="1">
      <c r="F318" s="39" t="n"/>
      <c r="I318" s="40" t="n"/>
      <c r="J318" s="41" t="n"/>
      <c r="K318" s="41" t="n"/>
      <c r="L318" s="42" t="n"/>
      <c r="M318" s="43" t="n"/>
      <c r="N318" s="43" t="n"/>
      <c r="O318" s="44" t="n"/>
      <c r="P318" s="45" t="n"/>
      <c r="Q318" s="45" t="n"/>
      <c r="S318" s="39" t="n"/>
    </row>
    <row r="319" ht="15.75" customHeight="1">
      <c r="F319" s="39" t="n"/>
      <c r="I319" s="40" t="n"/>
      <c r="J319" s="41" t="n"/>
      <c r="K319" s="41" t="n"/>
      <c r="L319" s="42" t="n"/>
      <c r="M319" s="43" t="n"/>
      <c r="N319" s="43" t="n"/>
      <c r="O319" s="44" t="n"/>
      <c r="P319" s="45" t="n"/>
      <c r="Q319" s="45" t="n"/>
      <c r="S319" s="39" t="n"/>
    </row>
    <row r="320" ht="15.75" customHeight="1">
      <c r="F320" s="39" t="n"/>
      <c r="I320" s="40" t="n"/>
      <c r="J320" s="41" t="n"/>
      <c r="K320" s="41" t="n"/>
      <c r="L320" s="42" t="n"/>
      <c r="M320" s="43" t="n"/>
      <c r="N320" s="43" t="n"/>
      <c r="O320" s="44" t="n"/>
      <c r="P320" s="45" t="n"/>
      <c r="Q320" s="45" t="n"/>
      <c r="S320" s="39" t="n"/>
    </row>
    <row r="321" ht="15.75" customHeight="1">
      <c r="F321" s="39" t="n"/>
      <c r="I321" s="40" t="n"/>
      <c r="J321" s="41" t="n"/>
      <c r="K321" s="41" t="n"/>
      <c r="L321" s="42" t="n"/>
      <c r="M321" s="43" t="n"/>
      <c r="N321" s="43" t="n"/>
      <c r="O321" s="44" t="n"/>
      <c r="P321" s="45" t="n"/>
      <c r="Q321" s="45" t="n"/>
      <c r="S321" s="39" t="n"/>
    </row>
    <row r="322" ht="15.75" customHeight="1">
      <c r="F322" s="39" t="n"/>
      <c r="I322" s="40" t="n"/>
      <c r="J322" s="41" t="n"/>
      <c r="K322" s="41" t="n"/>
      <c r="L322" s="42" t="n"/>
      <c r="M322" s="43" t="n"/>
      <c r="N322" s="43" t="n"/>
      <c r="O322" s="44" t="n"/>
      <c r="P322" s="45" t="n"/>
      <c r="Q322" s="45" t="n"/>
      <c r="S322" s="39" t="n"/>
    </row>
    <row r="323" ht="15.75" customHeight="1">
      <c r="F323" s="39" t="n"/>
      <c r="I323" s="40" t="n"/>
      <c r="J323" s="41" t="n"/>
      <c r="K323" s="41" t="n"/>
      <c r="L323" s="42" t="n"/>
      <c r="M323" s="43" t="n"/>
      <c r="N323" s="43" t="n"/>
      <c r="O323" s="44" t="n"/>
      <c r="P323" s="45" t="n"/>
      <c r="Q323" s="45" t="n"/>
      <c r="S323" s="39" t="n"/>
    </row>
    <row r="324" ht="15.75" customHeight="1">
      <c r="F324" s="39" t="n"/>
      <c r="I324" s="40" t="n"/>
      <c r="J324" s="41" t="n"/>
      <c r="K324" s="41" t="n"/>
      <c r="L324" s="42" t="n"/>
      <c r="M324" s="43" t="n"/>
      <c r="N324" s="43" t="n"/>
      <c r="O324" s="44" t="n"/>
      <c r="P324" s="45" t="n"/>
      <c r="Q324" s="45" t="n"/>
      <c r="S324" s="39" t="n"/>
    </row>
    <row r="325" ht="15.75" customHeight="1">
      <c r="F325" s="39" t="n"/>
      <c r="I325" s="40" t="n"/>
      <c r="J325" s="41" t="n"/>
      <c r="K325" s="41" t="n"/>
      <c r="L325" s="42" t="n"/>
      <c r="M325" s="43" t="n"/>
      <c r="N325" s="43" t="n"/>
      <c r="O325" s="44" t="n"/>
      <c r="P325" s="45" t="n"/>
      <c r="Q325" s="45" t="n"/>
      <c r="S325" s="39" t="n"/>
    </row>
    <row r="326" ht="15.75" customHeight="1">
      <c r="F326" s="39" t="n"/>
      <c r="I326" s="40" t="n"/>
      <c r="J326" s="41" t="n"/>
      <c r="K326" s="41" t="n"/>
      <c r="L326" s="42" t="n"/>
      <c r="M326" s="43" t="n"/>
      <c r="N326" s="43" t="n"/>
      <c r="O326" s="44" t="n"/>
      <c r="P326" s="45" t="n"/>
      <c r="Q326" s="45" t="n"/>
      <c r="S326" s="39" t="n"/>
    </row>
    <row r="327" ht="15.75" customHeight="1">
      <c r="F327" s="39" t="n"/>
      <c r="I327" s="40" t="n"/>
      <c r="J327" s="41" t="n"/>
      <c r="K327" s="41" t="n"/>
      <c r="L327" s="42" t="n"/>
      <c r="M327" s="43" t="n"/>
      <c r="N327" s="43" t="n"/>
      <c r="O327" s="44" t="n"/>
      <c r="P327" s="45" t="n"/>
      <c r="Q327" s="45" t="n"/>
      <c r="S327" s="39" t="n"/>
    </row>
    <row r="328" ht="15.75" customHeight="1">
      <c r="F328" s="39" t="n"/>
      <c r="I328" s="40" t="n"/>
      <c r="J328" s="41" t="n"/>
      <c r="K328" s="41" t="n"/>
      <c r="L328" s="42" t="n"/>
      <c r="M328" s="43" t="n"/>
      <c r="N328" s="43" t="n"/>
      <c r="O328" s="44" t="n"/>
      <c r="P328" s="45" t="n"/>
      <c r="Q328" s="45" t="n"/>
      <c r="S328" s="39" t="n"/>
    </row>
    <row r="329" ht="15.75" customHeight="1">
      <c r="F329" s="39" t="n"/>
      <c r="I329" s="40" t="n"/>
      <c r="J329" s="41" t="n"/>
      <c r="K329" s="41" t="n"/>
      <c r="L329" s="42" t="n"/>
      <c r="M329" s="43" t="n"/>
      <c r="N329" s="43" t="n"/>
      <c r="O329" s="44" t="n"/>
      <c r="P329" s="45" t="n"/>
      <c r="Q329" s="45" t="n"/>
      <c r="S329" s="39" t="n"/>
    </row>
    <row r="330" ht="15.75" customHeight="1">
      <c r="F330" s="39" t="n"/>
      <c r="I330" s="40" t="n"/>
      <c r="J330" s="41" t="n"/>
      <c r="K330" s="41" t="n"/>
      <c r="L330" s="42" t="n"/>
      <c r="M330" s="43" t="n"/>
      <c r="N330" s="43" t="n"/>
      <c r="O330" s="44" t="n"/>
      <c r="P330" s="45" t="n"/>
      <c r="Q330" s="45" t="n"/>
      <c r="S330" s="39" t="n"/>
    </row>
    <row r="331" ht="15.75" customHeight="1">
      <c r="F331" s="39" t="n"/>
      <c r="I331" s="40" t="n"/>
      <c r="J331" s="41" t="n"/>
      <c r="K331" s="41" t="n"/>
      <c r="L331" s="42" t="n"/>
      <c r="M331" s="43" t="n"/>
      <c r="N331" s="43" t="n"/>
      <c r="O331" s="44" t="n"/>
      <c r="P331" s="45" t="n"/>
      <c r="Q331" s="45" t="n"/>
      <c r="S331" s="39" t="n"/>
    </row>
    <row r="332" ht="15.75" customHeight="1">
      <c r="F332" s="39" t="n"/>
      <c r="I332" s="40" t="n"/>
      <c r="J332" s="41" t="n"/>
      <c r="K332" s="41" t="n"/>
      <c r="L332" s="42" t="n"/>
      <c r="M332" s="43" t="n"/>
      <c r="N332" s="43" t="n"/>
      <c r="O332" s="44" t="n"/>
      <c r="P332" s="45" t="n"/>
      <c r="Q332" s="45" t="n"/>
      <c r="S332" s="39" t="n"/>
    </row>
    <row r="333" ht="15.75" customHeight="1">
      <c r="F333" s="39" t="n"/>
      <c r="I333" s="40" t="n"/>
      <c r="J333" s="41" t="n"/>
      <c r="K333" s="41" t="n"/>
      <c r="L333" s="42" t="n"/>
      <c r="M333" s="43" t="n"/>
      <c r="N333" s="43" t="n"/>
      <c r="O333" s="44" t="n"/>
      <c r="P333" s="45" t="n"/>
      <c r="Q333" s="45" t="n"/>
      <c r="S333" s="39" t="n"/>
    </row>
    <row r="334" ht="15.75" customHeight="1">
      <c r="F334" s="39" t="n"/>
      <c r="I334" s="40" t="n"/>
      <c r="J334" s="41" t="n"/>
      <c r="K334" s="41" t="n"/>
      <c r="L334" s="42" t="n"/>
      <c r="M334" s="43" t="n"/>
      <c r="N334" s="43" t="n"/>
      <c r="O334" s="44" t="n"/>
      <c r="P334" s="45" t="n"/>
      <c r="Q334" s="45" t="n"/>
      <c r="S334" s="39" t="n"/>
    </row>
    <row r="335" ht="15.75" customHeight="1">
      <c r="F335" s="39" t="n"/>
      <c r="I335" s="40" t="n"/>
      <c r="J335" s="41" t="n"/>
      <c r="K335" s="41" t="n"/>
      <c r="L335" s="42" t="n"/>
      <c r="M335" s="43" t="n"/>
      <c r="N335" s="43" t="n"/>
      <c r="O335" s="44" t="n"/>
      <c r="P335" s="45" t="n"/>
      <c r="Q335" s="45" t="n"/>
      <c r="S335" s="39" t="n"/>
    </row>
    <row r="336" ht="15.75" customHeight="1">
      <c r="F336" s="39" t="n"/>
      <c r="I336" s="40" t="n"/>
      <c r="J336" s="41" t="n"/>
      <c r="K336" s="41" t="n"/>
      <c r="L336" s="42" t="n"/>
      <c r="M336" s="43" t="n"/>
      <c r="N336" s="43" t="n"/>
      <c r="O336" s="44" t="n"/>
      <c r="P336" s="45" t="n"/>
      <c r="Q336" s="45" t="n"/>
      <c r="S336" s="39" t="n"/>
    </row>
    <row r="337" ht="15.75" customHeight="1">
      <c r="F337" s="39" t="n"/>
      <c r="I337" s="40" t="n"/>
      <c r="J337" s="41" t="n"/>
      <c r="K337" s="41" t="n"/>
      <c r="L337" s="42" t="n"/>
      <c r="M337" s="43" t="n"/>
      <c r="N337" s="43" t="n"/>
      <c r="O337" s="44" t="n"/>
      <c r="P337" s="45" t="n"/>
      <c r="Q337" s="45" t="n"/>
      <c r="S337" s="39" t="n"/>
    </row>
    <row r="338" ht="15.75" customHeight="1">
      <c r="F338" s="39" t="n"/>
      <c r="I338" s="40" t="n"/>
      <c r="J338" s="41" t="n"/>
      <c r="K338" s="41" t="n"/>
      <c r="L338" s="42" t="n"/>
      <c r="M338" s="43" t="n"/>
      <c r="N338" s="43" t="n"/>
      <c r="O338" s="44" t="n"/>
      <c r="P338" s="45" t="n"/>
      <c r="Q338" s="45" t="n"/>
      <c r="S338" s="39" t="n"/>
    </row>
    <row r="339" ht="15.75" customHeight="1">
      <c r="F339" s="39" t="n"/>
      <c r="I339" s="40" t="n"/>
      <c r="J339" s="41" t="n"/>
      <c r="K339" s="41" t="n"/>
      <c r="L339" s="42" t="n"/>
      <c r="M339" s="43" t="n"/>
      <c r="N339" s="43" t="n"/>
      <c r="O339" s="44" t="n"/>
      <c r="P339" s="45" t="n"/>
      <c r="Q339" s="45" t="n"/>
      <c r="S339" s="39" t="n"/>
    </row>
    <row r="340" ht="15.75" customHeight="1">
      <c r="F340" s="39" t="n"/>
      <c r="I340" s="40" t="n"/>
      <c r="J340" s="41" t="n"/>
      <c r="K340" s="41" t="n"/>
      <c r="L340" s="42" t="n"/>
      <c r="M340" s="43" t="n"/>
      <c r="N340" s="43" t="n"/>
      <c r="O340" s="44" t="n"/>
      <c r="P340" s="45" t="n"/>
      <c r="Q340" s="45" t="n"/>
      <c r="S340" s="39" t="n"/>
    </row>
    <row r="341" ht="15.75" customHeight="1">
      <c r="F341" s="39" t="n"/>
      <c r="I341" s="40" t="n"/>
      <c r="J341" s="41" t="n"/>
      <c r="K341" s="41" t="n"/>
      <c r="L341" s="42" t="n"/>
      <c r="M341" s="43" t="n"/>
      <c r="N341" s="43" t="n"/>
      <c r="O341" s="44" t="n"/>
      <c r="P341" s="45" t="n"/>
      <c r="Q341" s="45" t="n"/>
      <c r="S341" s="39" t="n"/>
    </row>
    <row r="342" ht="15.75" customHeight="1">
      <c r="F342" s="39" t="n"/>
      <c r="I342" s="40" t="n"/>
      <c r="J342" s="41" t="n"/>
      <c r="K342" s="41" t="n"/>
      <c r="L342" s="42" t="n"/>
      <c r="M342" s="43" t="n"/>
      <c r="N342" s="43" t="n"/>
      <c r="O342" s="44" t="n"/>
      <c r="P342" s="45" t="n"/>
      <c r="Q342" s="45" t="n"/>
      <c r="S342" s="39" t="n"/>
    </row>
    <row r="343" ht="15.75" customHeight="1">
      <c r="F343" s="39" t="n"/>
      <c r="I343" s="40" t="n"/>
      <c r="J343" s="41" t="n"/>
      <c r="K343" s="41" t="n"/>
      <c r="L343" s="42" t="n"/>
      <c r="M343" s="43" t="n"/>
      <c r="N343" s="43" t="n"/>
      <c r="O343" s="44" t="n"/>
      <c r="P343" s="45" t="n"/>
      <c r="Q343" s="45" t="n"/>
      <c r="S343" s="39" t="n"/>
    </row>
    <row r="344" ht="15.75" customHeight="1">
      <c r="F344" s="39" t="n"/>
      <c r="I344" s="40" t="n"/>
      <c r="J344" s="41" t="n"/>
      <c r="K344" s="41" t="n"/>
      <c r="L344" s="42" t="n"/>
      <c r="M344" s="43" t="n"/>
      <c r="N344" s="43" t="n"/>
      <c r="O344" s="44" t="n"/>
      <c r="P344" s="45" t="n"/>
      <c r="Q344" s="45" t="n"/>
      <c r="S344" s="39" t="n"/>
    </row>
    <row r="345" ht="15.75" customHeight="1">
      <c r="F345" s="39" t="n"/>
      <c r="I345" s="40" t="n"/>
      <c r="J345" s="41" t="n"/>
      <c r="K345" s="41" t="n"/>
      <c r="L345" s="42" t="n"/>
      <c r="M345" s="43" t="n"/>
      <c r="N345" s="43" t="n"/>
      <c r="O345" s="44" t="n"/>
      <c r="P345" s="45" t="n"/>
      <c r="Q345" s="45" t="n"/>
      <c r="S345" s="39" t="n"/>
    </row>
    <row r="346" ht="15.75" customHeight="1">
      <c r="F346" s="39" t="n"/>
      <c r="I346" s="40" t="n"/>
      <c r="J346" s="41" t="n"/>
      <c r="K346" s="41" t="n"/>
      <c r="L346" s="42" t="n"/>
      <c r="M346" s="43" t="n"/>
      <c r="N346" s="43" t="n"/>
      <c r="O346" s="44" t="n"/>
      <c r="P346" s="45" t="n"/>
      <c r="Q346" s="45" t="n"/>
      <c r="S346" s="39" t="n"/>
    </row>
    <row r="347" ht="15.75" customHeight="1">
      <c r="F347" s="39" t="n"/>
      <c r="I347" s="40" t="n"/>
      <c r="J347" s="41" t="n"/>
      <c r="K347" s="41" t="n"/>
      <c r="L347" s="42" t="n"/>
      <c r="M347" s="43" t="n"/>
      <c r="N347" s="43" t="n"/>
      <c r="O347" s="44" t="n"/>
      <c r="P347" s="45" t="n"/>
      <c r="Q347" s="45" t="n"/>
      <c r="S347" s="39" t="n"/>
    </row>
    <row r="348" ht="15.75" customHeight="1">
      <c r="F348" s="39" t="n"/>
      <c r="I348" s="40" t="n"/>
      <c r="J348" s="41" t="n"/>
      <c r="K348" s="41" t="n"/>
      <c r="L348" s="42" t="n"/>
      <c r="M348" s="43" t="n"/>
      <c r="N348" s="43" t="n"/>
      <c r="O348" s="44" t="n"/>
      <c r="P348" s="45" t="n"/>
      <c r="Q348" s="45" t="n"/>
      <c r="S348" s="39" t="n"/>
    </row>
    <row r="349" ht="15.75" customHeight="1">
      <c r="F349" s="39" t="n"/>
      <c r="I349" s="40" t="n"/>
      <c r="J349" s="41" t="n"/>
      <c r="K349" s="41" t="n"/>
      <c r="L349" s="42" t="n"/>
      <c r="M349" s="43" t="n"/>
      <c r="N349" s="43" t="n"/>
      <c r="O349" s="44" t="n"/>
      <c r="P349" s="45" t="n"/>
      <c r="Q349" s="45" t="n"/>
      <c r="S349" s="39" t="n"/>
    </row>
    <row r="350" ht="15.75" customHeight="1">
      <c r="F350" s="39" t="n"/>
      <c r="I350" s="40" t="n"/>
      <c r="J350" s="41" t="n"/>
      <c r="K350" s="41" t="n"/>
      <c r="L350" s="42" t="n"/>
      <c r="M350" s="43" t="n"/>
      <c r="N350" s="43" t="n"/>
      <c r="O350" s="44" t="n"/>
      <c r="P350" s="45" t="n"/>
      <c r="Q350" s="45" t="n"/>
      <c r="S350" s="39" t="n"/>
    </row>
    <row r="351" ht="15.75" customHeight="1">
      <c r="F351" s="39" t="n"/>
      <c r="I351" s="40" t="n"/>
      <c r="J351" s="41" t="n"/>
      <c r="K351" s="41" t="n"/>
      <c r="L351" s="42" t="n"/>
      <c r="M351" s="43" t="n"/>
      <c r="N351" s="43" t="n"/>
      <c r="O351" s="44" t="n"/>
      <c r="P351" s="45" t="n"/>
      <c r="Q351" s="45" t="n"/>
      <c r="S351" s="39" t="n"/>
    </row>
    <row r="352" ht="15.75" customHeight="1">
      <c r="F352" s="39" t="n"/>
      <c r="I352" s="40" t="n"/>
      <c r="J352" s="41" t="n"/>
      <c r="K352" s="41" t="n"/>
      <c r="L352" s="42" t="n"/>
      <c r="M352" s="43" t="n"/>
      <c r="N352" s="43" t="n"/>
      <c r="O352" s="44" t="n"/>
      <c r="P352" s="45" t="n"/>
      <c r="Q352" s="45" t="n"/>
      <c r="S352" s="39" t="n"/>
    </row>
    <row r="353" ht="15.75" customHeight="1">
      <c r="F353" s="39" t="n"/>
      <c r="I353" s="40" t="n"/>
      <c r="J353" s="41" t="n"/>
      <c r="K353" s="41" t="n"/>
      <c r="L353" s="42" t="n"/>
      <c r="M353" s="43" t="n"/>
      <c r="N353" s="43" t="n"/>
      <c r="O353" s="44" t="n"/>
      <c r="P353" s="45" t="n"/>
      <c r="Q353" s="45" t="n"/>
      <c r="S353" s="39" t="n"/>
    </row>
    <row r="354" ht="15.75" customHeight="1">
      <c r="F354" s="39" t="n"/>
      <c r="I354" s="40" t="n"/>
      <c r="J354" s="41" t="n"/>
      <c r="K354" s="41" t="n"/>
      <c r="L354" s="42" t="n"/>
      <c r="M354" s="43" t="n"/>
      <c r="N354" s="43" t="n"/>
      <c r="O354" s="44" t="n"/>
      <c r="P354" s="45" t="n"/>
      <c r="Q354" s="45" t="n"/>
      <c r="S354" s="39" t="n"/>
    </row>
    <row r="355" ht="15.75" customHeight="1">
      <c r="F355" s="39" t="n"/>
      <c r="I355" s="40" t="n"/>
      <c r="J355" s="41" t="n"/>
      <c r="K355" s="41" t="n"/>
      <c r="L355" s="42" t="n"/>
      <c r="M355" s="43" t="n"/>
      <c r="N355" s="43" t="n"/>
      <c r="O355" s="44" t="n"/>
      <c r="P355" s="45" t="n"/>
      <c r="Q355" s="45" t="n"/>
      <c r="S355" s="39" t="n"/>
    </row>
    <row r="356" ht="15.75" customHeight="1">
      <c r="F356" s="39" t="n"/>
      <c r="I356" s="40" t="n"/>
      <c r="J356" s="41" t="n"/>
      <c r="K356" s="41" t="n"/>
      <c r="L356" s="42" t="n"/>
      <c r="M356" s="43" t="n"/>
      <c r="N356" s="43" t="n"/>
      <c r="O356" s="44" t="n"/>
      <c r="P356" s="45" t="n"/>
      <c r="Q356" s="45" t="n"/>
      <c r="S356" s="39" t="n"/>
    </row>
    <row r="357" ht="15.75" customHeight="1">
      <c r="F357" s="39" t="n"/>
      <c r="I357" s="40" t="n"/>
      <c r="J357" s="41" t="n"/>
      <c r="K357" s="41" t="n"/>
      <c r="L357" s="42" t="n"/>
      <c r="M357" s="43" t="n"/>
      <c r="N357" s="43" t="n"/>
      <c r="O357" s="44" t="n"/>
      <c r="P357" s="45" t="n"/>
      <c r="Q357" s="45" t="n"/>
      <c r="S357" s="39" t="n"/>
    </row>
    <row r="358" ht="15.75" customHeight="1">
      <c r="F358" s="39" t="n"/>
      <c r="I358" s="40" t="n"/>
      <c r="J358" s="41" t="n"/>
      <c r="K358" s="41" t="n"/>
      <c r="L358" s="42" t="n"/>
      <c r="M358" s="43" t="n"/>
      <c r="N358" s="43" t="n"/>
      <c r="O358" s="44" t="n"/>
      <c r="P358" s="45" t="n"/>
      <c r="Q358" s="45" t="n"/>
      <c r="S358" s="39" t="n"/>
    </row>
    <row r="359" ht="15.75" customHeight="1">
      <c r="F359" s="39" t="n"/>
      <c r="I359" s="40" t="n"/>
      <c r="J359" s="41" t="n"/>
      <c r="K359" s="41" t="n"/>
      <c r="L359" s="42" t="n"/>
      <c r="M359" s="43" t="n"/>
      <c r="N359" s="43" t="n"/>
      <c r="O359" s="44" t="n"/>
      <c r="P359" s="45" t="n"/>
      <c r="Q359" s="45" t="n"/>
      <c r="S359" s="39" t="n"/>
    </row>
    <row r="360" ht="15.75" customHeight="1">
      <c r="F360" s="39" t="n"/>
      <c r="I360" s="40" t="n"/>
      <c r="J360" s="41" t="n"/>
      <c r="K360" s="41" t="n"/>
      <c r="L360" s="42" t="n"/>
      <c r="M360" s="43" t="n"/>
      <c r="N360" s="43" t="n"/>
      <c r="O360" s="44" t="n"/>
      <c r="P360" s="45" t="n"/>
      <c r="Q360" s="45" t="n"/>
      <c r="S360" s="39" t="n"/>
    </row>
    <row r="361" ht="15.75" customHeight="1">
      <c r="F361" s="39" t="n"/>
      <c r="I361" s="40" t="n"/>
      <c r="J361" s="41" t="n"/>
      <c r="K361" s="41" t="n"/>
      <c r="L361" s="42" t="n"/>
      <c r="M361" s="43" t="n"/>
      <c r="N361" s="43" t="n"/>
      <c r="O361" s="44" t="n"/>
      <c r="P361" s="45" t="n"/>
      <c r="Q361" s="45" t="n"/>
      <c r="S361" s="39" t="n"/>
    </row>
    <row r="362" ht="15.75" customHeight="1">
      <c r="F362" s="39" t="n"/>
      <c r="I362" s="40" t="n"/>
      <c r="J362" s="41" t="n"/>
      <c r="K362" s="41" t="n"/>
      <c r="L362" s="42" t="n"/>
      <c r="M362" s="43" t="n"/>
      <c r="N362" s="43" t="n"/>
      <c r="O362" s="44" t="n"/>
      <c r="P362" s="45" t="n"/>
      <c r="Q362" s="45" t="n"/>
      <c r="S362" s="39" t="n"/>
    </row>
    <row r="363" ht="15.75" customHeight="1">
      <c r="F363" s="39" t="n"/>
      <c r="I363" s="40" t="n"/>
      <c r="J363" s="41" t="n"/>
      <c r="K363" s="41" t="n"/>
      <c r="L363" s="42" t="n"/>
      <c r="M363" s="43" t="n"/>
      <c r="N363" s="43" t="n"/>
      <c r="O363" s="44" t="n"/>
      <c r="P363" s="45" t="n"/>
      <c r="Q363" s="45" t="n"/>
      <c r="S363" s="39" t="n"/>
    </row>
    <row r="364" ht="15.75" customHeight="1">
      <c r="F364" s="39" t="n"/>
      <c r="I364" s="40" t="n"/>
      <c r="J364" s="41" t="n"/>
      <c r="K364" s="41" t="n"/>
      <c r="L364" s="42" t="n"/>
      <c r="M364" s="43" t="n"/>
      <c r="N364" s="43" t="n"/>
      <c r="O364" s="44" t="n"/>
      <c r="P364" s="45" t="n"/>
      <c r="Q364" s="45" t="n"/>
      <c r="S364" s="39" t="n"/>
    </row>
    <row r="365" ht="15.75" customHeight="1">
      <c r="F365" s="39" t="n"/>
      <c r="I365" s="40" t="n"/>
      <c r="J365" s="41" t="n"/>
      <c r="K365" s="41" t="n"/>
      <c r="L365" s="42" t="n"/>
      <c r="M365" s="43" t="n"/>
      <c r="N365" s="43" t="n"/>
      <c r="O365" s="44" t="n"/>
      <c r="P365" s="45" t="n"/>
      <c r="Q365" s="45" t="n"/>
      <c r="S365" s="39" t="n"/>
    </row>
    <row r="366" ht="15.75" customHeight="1">
      <c r="F366" s="39" t="n"/>
      <c r="I366" s="40" t="n"/>
      <c r="J366" s="41" t="n"/>
      <c r="K366" s="41" t="n"/>
      <c r="L366" s="42" t="n"/>
      <c r="M366" s="43" t="n"/>
      <c r="N366" s="43" t="n"/>
      <c r="O366" s="44" t="n"/>
      <c r="P366" s="45" t="n"/>
      <c r="Q366" s="45" t="n"/>
      <c r="S366" s="39" t="n"/>
    </row>
    <row r="367" ht="15.75" customHeight="1">
      <c r="F367" s="39" t="n"/>
      <c r="I367" s="40" t="n"/>
      <c r="J367" s="41" t="n"/>
      <c r="K367" s="41" t="n"/>
      <c r="L367" s="42" t="n"/>
      <c r="M367" s="43" t="n"/>
      <c r="N367" s="43" t="n"/>
      <c r="O367" s="44" t="n"/>
      <c r="P367" s="45" t="n"/>
      <c r="Q367" s="45" t="n"/>
      <c r="S367" s="39" t="n"/>
    </row>
    <row r="368" ht="15.75" customHeight="1">
      <c r="F368" s="39" t="n"/>
      <c r="I368" s="40" t="n"/>
      <c r="J368" s="41" t="n"/>
      <c r="K368" s="41" t="n"/>
      <c r="L368" s="42" t="n"/>
      <c r="M368" s="43" t="n"/>
      <c r="N368" s="43" t="n"/>
      <c r="O368" s="44" t="n"/>
      <c r="P368" s="45" t="n"/>
      <c r="Q368" s="45" t="n"/>
      <c r="S368" s="39" t="n"/>
    </row>
    <row r="369" ht="15.75" customHeight="1">
      <c r="F369" s="39" t="n"/>
      <c r="I369" s="40" t="n"/>
      <c r="J369" s="41" t="n"/>
      <c r="K369" s="41" t="n"/>
      <c r="L369" s="42" t="n"/>
      <c r="M369" s="43" t="n"/>
      <c r="N369" s="43" t="n"/>
      <c r="O369" s="44" t="n"/>
      <c r="P369" s="45" t="n"/>
      <c r="Q369" s="45" t="n"/>
      <c r="S369" s="39" t="n"/>
    </row>
    <row r="370" ht="15.75" customHeight="1">
      <c r="F370" s="39" t="n"/>
      <c r="I370" s="40" t="n"/>
      <c r="J370" s="41" t="n"/>
      <c r="K370" s="41" t="n"/>
      <c r="L370" s="42" t="n"/>
      <c r="M370" s="43" t="n"/>
      <c r="N370" s="43" t="n"/>
      <c r="O370" s="44" t="n"/>
      <c r="P370" s="45" t="n"/>
      <c r="Q370" s="45" t="n"/>
      <c r="S370" s="39" t="n"/>
    </row>
    <row r="371" ht="15.75" customHeight="1">
      <c r="F371" s="39" t="n"/>
      <c r="I371" s="40" t="n"/>
      <c r="J371" s="41" t="n"/>
      <c r="K371" s="41" t="n"/>
      <c r="L371" s="42" t="n"/>
      <c r="M371" s="43" t="n"/>
      <c r="N371" s="43" t="n"/>
      <c r="O371" s="44" t="n"/>
      <c r="P371" s="45" t="n"/>
      <c r="Q371" s="45" t="n"/>
      <c r="S371" s="39" t="n"/>
    </row>
    <row r="372" ht="15.75" customHeight="1">
      <c r="F372" s="39" t="n"/>
      <c r="I372" s="40" t="n"/>
      <c r="J372" s="41" t="n"/>
      <c r="K372" s="41" t="n"/>
      <c r="L372" s="42" t="n"/>
      <c r="M372" s="43" t="n"/>
      <c r="N372" s="43" t="n"/>
      <c r="O372" s="44" t="n"/>
      <c r="P372" s="45" t="n"/>
      <c r="Q372" s="45" t="n"/>
      <c r="S372" s="39" t="n"/>
    </row>
    <row r="373" ht="15.75" customHeight="1">
      <c r="F373" s="39" t="n"/>
      <c r="I373" s="40" t="n"/>
      <c r="J373" s="41" t="n"/>
      <c r="K373" s="41" t="n"/>
      <c r="L373" s="42" t="n"/>
      <c r="M373" s="43" t="n"/>
      <c r="N373" s="43" t="n"/>
      <c r="O373" s="44" t="n"/>
      <c r="P373" s="45" t="n"/>
      <c r="Q373" s="45" t="n"/>
      <c r="S373" s="39" t="n"/>
    </row>
    <row r="374" ht="15.75" customHeight="1">
      <c r="F374" s="39" t="n"/>
      <c r="I374" s="40" t="n"/>
      <c r="J374" s="41" t="n"/>
      <c r="K374" s="41" t="n"/>
      <c r="L374" s="42" t="n"/>
      <c r="M374" s="43" t="n"/>
      <c r="N374" s="43" t="n"/>
      <c r="O374" s="44" t="n"/>
      <c r="P374" s="45" t="n"/>
      <c r="Q374" s="45" t="n"/>
      <c r="S374" s="39" t="n"/>
    </row>
    <row r="375" ht="15.75" customHeight="1">
      <c r="F375" s="39" t="n"/>
      <c r="I375" s="40" t="n"/>
      <c r="J375" s="41" t="n"/>
      <c r="K375" s="41" t="n"/>
      <c r="L375" s="42" t="n"/>
      <c r="M375" s="43" t="n"/>
      <c r="N375" s="43" t="n"/>
      <c r="O375" s="44" t="n"/>
      <c r="P375" s="45" t="n"/>
      <c r="Q375" s="45" t="n"/>
      <c r="S375" s="39" t="n"/>
    </row>
    <row r="376" ht="15.75" customHeight="1">
      <c r="F376" s="39" t="n"/>
      <c r="I376" s="40" t="n"/>
      <c r="J376" s="41" t="n"/>
      <c r="K376" s="41" t="n"/>
      <c r="L376" s="42" t="n"/>
      <c r="M376" s="43" t="n"/>
      <c r="N376" s="43" t="n"/>
      <c r="O376" s="44" t="n"/>
      <c r="P376" s="45" t="n"/>
      <c r="Q376" s="45" t="n"/>
      <c r="S376" s="39" t="n"/>
    </row>
    <row r="377" ht="15.75" customHeight="1">
      <c r="F377" s="39" t="n"/>
      <c r="I377" s="40" t="n"/>
      <c r="J377" s="41" t="n"/>
      <c r="K377" s="41" t="n"/>
      <c r="L377" s="42" t="n"/>
      <c r="M377" s="43" t="n"/>
      <c r="N377" s="43" t="n"/>
      <c r="O377" s="44" t="n"/>
      <c r="P377" s="45" t="n"/>
      <c r="Q377" s="45" t="n"/>
      <c r="S377" s="39" t="n"/>
    </row>
    <row r="378" ht="15.75" customHeight="1">
      <c r="F378" s="39" t="n"/>
      <c r="I378" s="40" t="n"/>
      <c r="J378" s="41" t="n"/>
      <c r="K378" s="41" t="n"/>
      <c r="L378" s="42" t="n"/>
      <c r="M378" s="43" t="n"/>
      <c r="N378" s="43" t="n"/>
      <c r="O378" s="44" t="n"/>
      <c r="P378" s="45" t="n"/>
      <c r="Q378" s="45" t="n"/>
      <c r="S378" s="39" t="n"/>
    </row>
    <row r="379" ht="15.75" customHeight="1">
      <c r="F379" s="39" t="n"/>
      <c r="I379" s="40" t="n"/>
      <c r="J379" s="41" t="n"/>
      <c r="K379" s="41" t="n"/>
      <c r="L379" s="42" t="n"/>
      <c r="M379" s="43" t="n"/>
      <c r="N379" s="43" t="n"/>
      <c r="O379" s="44" t="n"/>
      <c r="P379" s="45" t="n"/>
      <c r="Q379" s="45" t="n"/>
      <c r="S379" s="39" t="n"/>
    </row>
    <row r="380" ht="15.75" customHeight="1">
      <c r="F380" s="39" t="n"/>
      <c r="I380" s="40" t="n"/>
      <c r="J380" s="41" t="n"/>
      <c r="K380" s="41" t="n"/>
      <c r="L380" s="42" t="n"/>
      <c r="M380" s="43" t="n"/>
      <c r="N380" s="43" t="n"/>
      <c r="O380" s="44" t="n"/>
      <c r="P380" s="45" t="n"/>
      <c r="Q380" s="45" t="n"/>
      <c r="S380" s="39" t="n"/>
    </row>
    <row r="381" ht="15.75" customHeight="1">
      <c r="F381" s="39" t="n"/>
      <c r="I381" s="40" t="n"/>
      <c r="J381" s="41" t="n"/>
      <c r="K381" s="41" t="n"/>
      <c r="L381" s="42" t="n"/>
      <c r="M381" s="43" t="n"/>
      <c r="N381" s="43" t="n"/>
      <c r="O381" s="44" t="n"/>
      <c r="P381" s="45" t="n"/>
      <c r="Q381" s="45" t="n"/>
      <c r="S381" s="39" t="n"/>
    </row>
    <row r="382" ht="15.75" customHeight="1">
      <c r="F382" s="39" t="n"/>
      <c r="I382" s="40" t="n"/>
      <c r="J382" s="41" t="n"/>
      <c r="K382" s="41" t="n"/>
      <c r="L382" s="42" t="n"/>
      <c r="M382" s="43" t="n"/>
      <c r="N382" s="43" t="n"/>
      <c r="O382" s="44" t="n"/>
      <c r="P382" s="45" t="n"/>
      <c r="Q382" s="45" t="n"/>
      <c r="S382" s="39" t="n"/>
    </row>
    <row r="383" ht="15.75" customHeight="1">
      <c r="F383" s="39" t="n"/>
      <c r="I383" s="40" t="n"/>
      <c r="J383" s="41" t="n"/>
      <c r="K383" s="41" t="n"/>
      <c r="L383" s="42" t="n"/>
      <c r="M383" s="43" t="n"/>
      <c r="N383" s="43" t="n"/>
      <c r="O383" s="44" t="n"/>
      <c r="P383" s="45" t="n"/>
      <c r="Q383" s="45" t="n"/>
      <c r="S383" s="39" t="n"/>
    </row>
    <row r="384" ht="15.75" customHeight="1">
      <c r="F384" s="39" t="n"/>
      <c r="I384" s="40" t="n"/>
      <c r="J384" s="41" t="n"/>
      <c r="K384" s="41" t="n"/>
      <c r="L384" s="42" t="n"/>
      <c r="M384" s="43" t="n"/>
      <c r="N384" s="43" t="n"/>
      <c r="O384" s="44" t="n"/>
      <c r="P384" s="45" t="n"/>
      <c r="Q384" s="45" t="n"/>
      <c r="S384" s="39" t="n"/>
    </row>
    <row r="385" ht="15.75" customHeight="1">
      <c r="F385" s="39" t="n"/>
      <c r="I385" s="40" t="n"/>
      <c r="J385" s="41" t="n"/>
      <c r="K385" s="41" t="n"/>
      <c r="L385" s="42" t="n"/>
      <c r="M385" s="43" t="n"/>
      <c r="N385" s="43" t="n"/>
      <c r="O385" s="44" t="n"/>
      <c r="P385" s="45" t="n"/>
      <c r="Q385" s="45" t="n"/>
      <c r="S385" s="39" t="n"/>
    </row>
    <row r="386" ht="15.75" customHeight="1">
      <c r="F386" s="39" t="n"/>
      <c r="I386" s="40" t="n"/>
      <c r="J386" s="41" t="n"/>
      <c r="K386" s="41" t="n"/>
      <c r="L386" s="42" t="n"/>
      <c r="M386" s="43" t="n"/>
      <c r="N386" s="43" t="n"/>
      <c r="O386" s="44" t="n"/>
      <c r="P386" s="45" t="n"/>
      <c r="Q386" s="45" t="n"/>
      <c r="S386" s="39" t="n"/>
    </row>
    <row r="387" ht="15.75" customHeight="1">
      <c r="F387" s="39" t="n"/>
      <c r="I387" s="40" t="n"/>
      <c r="J387" s="41" t="n"/>
      <c r="K387" s="41" t="n"/>
      <c r="L387" s="42" t="n"/>
      <c r="M387" s="43" t="n"/>
      <c r="N387" s="43" t="n"/>
      <c r="O387" s="44" t="n"/>
      <c r="P387" s="45" t="n"/>
      <c r="Q387" s="45" t="n"/>
      <c r="S387" s="39" t="n"/>
    </row>
    <row r="388" ht="15.75" customHeight="1">
      <c r="F388" s="39" t="n"/>
      <c r="I388" s="40" t="n"/>
      <c r="J388" s="41" t="n"/>
      <c r="K388" s="41" t="n"/>
      <c r="L388" s="42" t="n"/>
      <c r="M388" s="43" t="n"/>
      <c r="N388" s="43" t="n"/>
      <c r="O388" s="44" t="n"/>
      <c r="P388" s="45" t="n"/>
      <c r="Q388" s="45" t="n"/>
      <c r="S388" s="39" t="n"/>
    </row>
    <row r="389" ht="15.75" customHeight="1">
      <c r="F389" s="39" t="n"/>
      <c r="I389" s="40" t="n"/>
      <c r="J389" s="41" t="n"/>
      <c r="K389" s="41" t="n"/>
      <c r="L389" s="42" t="n"/>
      <c r="M389" s="43" t="n"/>
      <c r="N389" s="43" t="n"/>
      <c r="O389" s="44" t="n"/>
      <c r="P389" s="45" t="n"/>
      <c r="Q389" s="45" t="n"/>
      <c r="S389" s="39" t="n"/>
    </row>
    <row r="390" ht="15.75" customHeight="1">
      <c r="F390" s="39" t="n"/>
      <c r="I390" s="40" t="n"/>
      <c r="J390" s="41" t="n"/>
      <c r="K390" s="41" t="n"/>
      <c r="L390" s="42" t="n"/>
      <c r="M390" s="43" t="n"/>
      <c r="N390" s="43" t="n"/>
      <c r="O390" s="44" t="n"/>
      <c r="P390" s="45" t="n"/>
      <c r="Q390" s="45" t="n"/>
      <c r="S390" s="39" t="n"/>
    </row>
    <row r="391" ht="15.75" customHeight="1">
      <c r="F391" s="39" t="n"/>
      <c r="I391" s="40" t="n"/>
      <c r="J391" s="41" t="n"/>
      <c r="K391" s="41" t="n"/>
      <c r="L391" s="42" t="n"/>
      <c r="M391" s="43" t="n"/>
      <c r="N391" s="43" t="n"/>
      <c r="O391" s="44" t="n"/>
      <c r="P391" s="45" t="n"/>
      <c r="Q391" s="45" t="n"/>
      <c r="S391" s="39" t="n"/>
    </row>
    <row r="392" ht="15.75" customHeight="1">
      <c r="F392" s="39" t="n"/>
      <c r="I392" s="40" t="n"/>
      <c r="J392" s="41" t="n"/>
      <c r="K392" s="41" t="n"/>
      <c r="L392" s="42" t="n"/>
      <c r="M392" s="43" t="n"/>
      <c r="N392" s="43" t="n"/>
      <c r="O392" s="44" t="n"/>
      <c r="P392" s="45" t="n"/>
      <c r="Q392" s="45" t="n"/>
      <c r="S392" s="39" t="n"/>
    </row>
    <row r="393" ht="15.75" customHeight="1">
      <c r="F393" s="39" t="n"/>
      <c r="I393" s="40" t="n"/>
      <c r="J393" s="41" t="n"/>
      <c r="K393" s="41" t="n"/>
      <c r="L393" s="42" t="n"/>
      <c r="M393" s="43" t="n"/>
      <c r="N393" s="43" t="n"/>
      <c r="O393" s="44" t="n"/>
      <c r="P393" s="45" t="n"/>
      <c r="Q393" s="45" t="n"/>
      <c r="S393" s="39" t="n"/>
    </row>
    <row r="394" ht="15.75" customHeight="1">
      <c r="F394" s="39" t="n"/>
      <c r="I394" s="40" t="n"/>
      <c r="J394" s="41" t="n"/>
      <c r="K394" s="41" t="n"/>
      <c r="L394" s="42" t="n"/>
      <c r="M394" s="43" t="n"/>
      <c r="N394" s="43" t="n"/>
      <c r="O394" s="44" t="n"/>
      <c r="P394" s="45" t="n"/>
      <c r="Q394" s="45" t="n"/>
      <c r="S394" s="39" t="n"/>
    </row>
    <row r="395" ht="15.75" customHeight="1">
      <c r="F395" s="39" t="n"/>
      <c r="I395" s="40" t="n"/>
      <c r="J395" s="41" t="n"/>
      <c r="K395" s="41" t="n"/>
      <c r="L395" s="42" t="n"/>
      <c r="M395" s="43" t="n"/>
      <c r="N395" s="43" t="n"/>
      <c r="O395" s="44" t="n"/>
      <c r="P395" s="45" t="n"/>
      <c r="Q395" s="45" t="n"/>
      <c r="S395" s="39" t="n"/>
    </row>
    <row r="396" ht="15.75" customHeight="1">
      <c r="F396" s="39" t="n"/>
      <c r="I396" s="40" t="n"/>
      <c r="J396" s="41" t="n"/>
      <c r="K396" s="41" t="n"/>
      <c r="L396" s="42" t="n"/>
      <c r="M396" s="43" t="n"/>
      <c r="N396" s="43" t="n"/>
      <c r="O396" s="44" t="n"/>
      <c r="P396" s="45" t="n"/>
      <c r="Q396" s="45" t="n"/>
      <c r="S396" s="39" t="n"/>
    </row>
    <row r="397" ht="15.75" customHeight="1">
      <c r="F397" s="39" t="n"/>
      <c r="I397" s="40" t="n"/>
      <c r="J397" s="41" t="n"/>
      <c r="K397" s="41" t="n"/>
      <c r="L397" s="42" t="n"/>
      <c r="M397" s="43" t="n"/>
      <c r="N397" s="43" t="n"/>
      <c r="O397" s="44" t="n"/>
      <c r="P397" s="45" t="n"/>
      <c r="Q397" s="45" t="n"/>
      <c r="S397" s="39" t="n"/>
    </row>
    <row r="398" ht="15.75" customHeight="1">
      <c r="F398" s="39" t="n"/>
      <c r="I398" s="40" t="n"/>
      <c r="J398" s="41" t="n"/>
      <c r="K398" s="41" t="n"/>
      <c r="L398" s="42" t="n"/>
      <c r="M398" s="43" t="n"/>
      <c r="N398" s="43" t="n"/>
      <c r="O398" s="44" t="n"/>
      <c r="P398" s="45" t="n"/>
      <c r="Q398" s="45" t="n"/>
      <c r="S398" s="39" t="n"/>
    </row>
    <row r="399" ht="15.75" customHeight="1">
      <c r="F399" s="39" t="n"/>
      <c r="I399" s="40" t="n"/>
      <c r="J399" s="41" t="n"/>
      <c r="K399" s="41" t="n"/>
      <c r="L399" s="42" t="n"/>
      <c r="M399" s="43" t="n"/>
      <c r="N399" s="43" t="n"/>
      <c r="O399" s="44" t="n"/>
      <c r="P399" s="45" t="n"/>
      <c r="Q399" s="45" t="n"/>
      <c r="S399" s="39" t="n"/>
    </row>
    <row r="400" ht="15.75" customHeight="1">
      <c r="F400" s="39" t="n"/>
      <c r="I400" s="40" t="n"/>
      <c r="J400" s="41" t="n"/>
      <c r="K400" s="41" t="n"/>
      <c r="L400" s="42" t="n"/>
      <c r="M400" s="43" t="n"/>
      <c r="N400" s="43" t="n"/>
      <c r="O400" s="44" t="n"/>
      <c r="P400" s="45" t="n"/>
      <c r="Q400" s="45" t="n"/>
      <c r="S400" s="39" t="n"/>
    </row>
    <row r="401" ht="15.75" customHeight="1">
      <c r="F401" s="39" t="n"/>
      <c r="I401" s="40" t="n"/>
      <c r="J401" s="41" t="n"/>
      <c r="K401" s="41" t="n"/>
      <c r="L401" s="42" t="n"/>
      <c r="M401" s="43" t="n"/>
      <c r="N401" s="43" t="n"/>
      <c r="O401" s="44" t="n"/>
      <c r="P401" s="45" t="n"/>
      <c r="Q401" s="45" t="n"/>
      <c r="S401" s="39" t="n"/>
    </row>
    <row r="402" ht="15.75" customHeight="1">
      <c r="F402" s="39" t="n"/>
      <c r="I402" s="40" t="n"/>
      <c r="J402" s="41" t="n"/>
      <c r="K402" s="41" t="n"/>
      <c r="L402" s="42" t="n"/>
      <c r="M402" s="43" t="n"/>
      <c r="N402" s="43" t="n"/>
      <c r="O402" s="44" t="n"/>
      <c r="P402" s="45" t="n"/>
      <c r="Q402" s="45" t="n"/>
      <c r="S402" s="39" t="n"/>
    </row>
    <row r="403" ht="15.75" customHeight="1">
      <c r="F403" s="39" t="n"/>
      <c r="I403" s="40" t="n"/>
      <c r="J403" s="41" t="n"/>
      <c r="K403" s="41" t="n"/>
      <c r="L403" s="42" t="n"/>
      <c r="M403" s="43" t="n"/>
      <c r="N403" s="43" t="n"/>
      <c r="O403" s="44" t="n"/>
      <c r="P403" s="45" t="n"/>
      <c r="Q403" s="45" t="n"/>
      <c r="S403" s="39" t="n"/>
    </row>
    <row r="404" ht="15.75" customHeight="1">
      <c r="F404" s="39" t="n"/>
      <c r="I404" s="40" t="n"/>
      <c r="J404" s="41" t="n"/>
      <c r="K404" s="41" t="n"/>
      <c r="L404" s="42" t="n"/>
      <c r="M404" s="43" t="n"/>
      <c r="N404" s="43" t="n"/>
      <c r="O404" s="44" t="n"/>
      <c r="P404" s="45" t="n"/>
      <c r="Q404" s="45" t="n"/>
      <c r="S404" s="39" t="n"/>
    </row>
    <row r="405" ht="15.75" customHeight="1">
      <c r="F405" s="39" t="n"/>
      <c r="I405" s="40" t="n"/>
      <c r="J405" s="41" t="n"/>
      <c r="K405" s="41" t="n"/>
      <c r="L405" s="42" t="n"/>
      <c r="M405" s="43" t="n"/>
      <c r="N405" s="43" t="n"/>
      <c r="O405" s="44" t="n"/>
      <c r="P405" s="45" t="n"/>
      <c r="Q405" s="45" t="n"/>
      <c r="S405" s="39" t="n"/>
    </row>
    <row r="406" ht="15.75" customHeight="1">
      <c r="F406" s="39" t="n"/>
      <c r="I406" s="40" t="n"/>
      <c r="J406" s="41" t="n"/>
      <c r="K406" s="41" t="n"/>
      <c r="L406" s="42" t="n"/>
      <c r="M406" s="43" t="n"/>
      <c r="N406" s="43" t="n"/>
      <c r="O406" s="44" t="n"/>
      <c r="P406" s="45" t="n"/>
      <c r="Q406" s="45" t="n"/>
      <c r="S406" s="39" t="n"/>
    </row>
    <row r="407" ht="15.75" customHeight="1">
      <c r="F407" s="39" t="n"/>
      <c r="I407" s="40" t="n"/>
      <c r="J407" s="41" t="n"/>
      <c r="K407" s="41" t="n"/>
      <c r="L407" s="42" t="n"/>
      <c r="M407" s="43" t="n"/>
      <c r="N407" s="43" t="n"/>
      <c r="O407" s="44" t="n"/>
      <c r="P407" s="45" t="n"/>
      <c r="Q407" s="45" t="n"/>
      <c r="S407" s="39" t="n"/>
    </row>
    <row r="408" ht="15.75" customHeight="1">
      <c r="F408" s="39" t="n"/>
      <c r="I408" s="40" t="n"/>
      <c r="J408" s="41" t="n"/>
      <c r="K408" s="41" t="n"/>
      <c r="L408" s="42" t="n"/>
      <c r="M408" s="43" t="n"/>
      <c r="N408" s="43" t="n"/>
      <c r="O408" s="44" t="n"/>
      <c r="P408" s="45" t="n"/>
      <c r="Q408" s="45" t="n"/>
      <c r="S408" s="39" t="n"/>
    </row>
    <row r="409" ht="15.75" customHeight="1">
      <c r="F409" s="39" t="n"/>
      <c r="I409" s="40" t="n"/>
      <c r="J409" s="41" t="n"/>
      <c r="K409" s="41" t="n"/>
      <c r="L409" s="42" t="n"/>
      <c r="M409" s="43" t="n"/>
      <c r="N409" s="43" t="n"/>
      <c r="O409" s="44" t="n"/>
      <c r="P409" s="45" t="n"/>
      <c r="Q409" s="45" t="n"/>
      <c r="S409" s="39" t="n"/>
    </row>
    <row r="410" ht="15.75" customHeight="1">
      <c r="F410" s="39" t="n"/>
      <c r="I410" s="40" t="n"/>
      <c r="J410" s="41" t="n"/>
      <c r="K410" s="41" t="n"/>
      <c r="L410" s="42" t="n"/>
      <c r="M410" s="43" t="n"/>
      <c r="N410" s="43" t="n"/>
      <c r="O410" s="44" t="n"/>
      <c r="P410" s="45" t="n"/>
      <c r="Q410" s="45" t="n"/>
      <c r="S410" s="39" t="n"/>
    </row>
    <row r="411" ht="15.75" customHeight="1">
      <c r="F411" s="39" t="n"/>
      <c r="I411" s="40" t="n"/>
      <c r="J411" s="41" t="n"/>
      <c r="K411" s="41" t="n"/>
      <c r="L411" s="42" t="n"/>
      <c r="M411" s="43" t="n"/>
      <c r="N411" s="43" t="n"/>
      <c r="O411" s="44" t="n"/>
      <c r="P411" s="45" t="n"/>
      <c r="Q411" s="45" t="n"/>
      <c r="S411" s="39" t="n"/>
    </row>
    <row r="412" ht="15.75" customHeight="1">
      <c r="F412" s="39" t="n"/>
      <c r="I412" s="40" t="n"/>
      <c r="J412" s="41" t="n"/>
      <c r="K412" s="41" t="n"/>
      <c r="L412" s="42" t="n"/>
      <c r="M412" s="43" t="n"/>
      <c r="N412" s="43" t="n"/>
      <c r="O412" s="44" t="n"/>
      <c r="P412" s="45" t="n"/>
      <c r="Q412" s="45" t="n"/>
      <c r="S412" s="39" t="n"/>
    </row>
    <row r="413" ht="15.75" customHeight="1">
      <c r="F413" s="39" t="n"/>
      <c r="I413" s="40" t="n"/>
      <c r="J413" s="41" t="n"/>
      <c r="K413" s="41" t="n"/>
      <c r="L413" s="42" t="n"/>
      <c r="M413" s="43" t="n"/>
      <c r="N413" s="43" t="n"/>
      <c r="O413" s="44" t="n"/>
      <c r="P413" s="45" t="n"/>
      <c r="Q413" s="45" t="n"/>
      <c r="S413" s="39" t="n"/>
    </row>
    <row r="414" ht="15.75" customHeight="1">
      <c r="F414" s="39" t="n"/>
      <c r="I414" s="40" t="n"/>
      <c r="J414" s="41" t="n"/>
      <c r="K414" s="41" t="n"/>
      <c r="L414" s="42" t="n"/>
      <c r="M414" s="43" t="n"/>
      <c r="N414" s="43" t="n"/>
      <c r="O414" s="44" t="n"/>
      <c r="P414" s="45" t="n"/>
      <c r="Q414" s="45" t="n"/>
      <c r="S414" s="39" t="n"/>
    </row>
    <row r="415" ht="15.75" customHeight="1">
      <c r="F415" s="39" t="n"/>
      <c r="I415" s="40" t="n"/>
      <c r="J415" s="41" t="n"/>
      <c r="K415" s="41" t="n"/>
      <c r="L415" s="42" t="n"/>
      <c r="M415" s="43" t="n"/>
      <c r="N415" s="43" t="n"/>
      <c r="O415" s="44" t="n"/>
      <c r="P415" s="45" t="n"/>
      <c r="Q415" s="45" t="n"/>
      <c r="S415" s="39" t="n"/>
    </row>
    <row r="416" ht="15.75" customHeight="1">
      <c r="F416" s="39" t="n"/>
      <c r="I416" s="40" t="n"/>
      <c r="J416" s="41" t="n"/>
      <c r="K416" s="41" t="n"/>
      <c r="L416" s="42" t="n"/>
      <c r="M416" s="43" t="n"/>
      <c r="N416" s="43" t="n"/>
      <c r="O416" s="44" t="n"/>
      <c r="P416" s="45" t="n"/>
      <c r="Q416" s="45" t="n"/>
      <c r="S416" s="39" t="n"/>
    </row>
    <row r="417" ht="15.75" customHeight="1">
      <c r="F417" s="39" t="n"/>
      <c r="I417" s="40" t="n"/>
      <c r="J417" s="41" t="n"/>
      <c r="K417" s="41" t="n"/>
      <c r="L417" s="42" t="n"/>
      <c r="M417" s="43" t="n"/>
      <c r="N417" s="43" t="n"/>
      <c r="O417" s="44" t="n"/>
      <c r="P417" s="45" t="n"/>
      <c r="Q417" s="45" t="n"/>
      <c r="S417" s="39" t="n"/>
    </row>
    <row r="418" ht="15.75" customHeight="1">
      <c r="F418" s="39" t="n"/>
      <c r="I418" s="40" t="n"/>
      <c r="J418" s="41" t="n"/>
      <c r="K418" s="41" t="n"/>
      <c r="L418" s="42" t="n"/>
      <c r="M418" s="43" t="n"/>
      <c r="N418" s="43" t="n"/>
      <c r="O418" s="44" t="n"/>
      <c r="P418" s="45" t="n"/>
      <c r="Q418" s="45" t="n"/>
      <c r="S418" s="39" t="n"/>
    </row>
    <row r="419" ht="15.75" customHeight="1">
      <c r="F419" s="39" t="n"/>
      <c r="I419" s="40" t="n"/>
      <c r="J419" s="41" t="n"/>
      <c r="K419" s="41" t="n"/>
      <c r="L419" s="42" t="n"/>
      <c r="M419" s="43" t="n"/>
      <c r="N419" s="43" t="n"/>
      <c r="O419" s="44" t="n"/>
      <c r="P419" s="45" t="n"/>
      <c r="Q419" s="45" t="n"/>
      <c r="S419" s="39" t="n"/>
    </row>
    <row r="420" ht="15.75" customHeight="1">
      <c r="F420" s="39" t="n"/>
      <c r="I420" s="40" t="n"/>
      <c r="J420" s="41" t="n"/>
      <c r="K420" s="41" t="n"/>
      <c r="L420" s="42" t="n"/>
      <c r="M420" s="43" t="n"/>
      <c r="N420" s="43" t="n"/>
      <c r="O420" s="44" t="n"/>
      <c r="P420" s="45" t="n"/>
      <c r="Q420" s="45" t="n"/>
      <c r="S420" s="39" t="n"/>
    </row>
    <row r="421" ht="15.75" customHeight="1">
      <c r="F421" s="39" t="n"/>
      <c r="I421" s="40" t="n"/>
      <c r="J421" s="41" t="n"/>
      <c r="K421" s="41" t="n"/>
      <c r="L421" s="42" t="n"/>
      <c r="M421" s="43" t="n"/>
      <c r="N421" s="43" t="n"/>
      <c r="O421" s="44" t="n"/>
      <c r="P421" s="45" t="n"/>
      <c r="Q421" s="45" t="n"/>
      <c r="S421" s="39" t="n"/>
    </row>
    <row r="422" ht="15.75" customHeight="1">
      <c r="F422" s="39" t="n"/>
      <c r="I422" s="40" t="n"/>
      <c r="J422" s="41" t="n"/>
      <c r="K422" s="41" t="n"/>
      <c r="L422" s="42" t="n"/>
      <c r="M422" s="43" t="n"/>
      <c r="N422" s="43" t="n"/>
      <c r="O422" s="44" t="n"/>
      <c r="P422" s="45" t="n"/>
      <c r="Q422" s="45" t="n"/>
      <c r="S422" s="39" t="n"/>
    </row>
    <row r="423" ht="15.75" customHeight="1">
      <c r="F423" s="39" t="n"/>
      <c r="I423" s="40" t="n"/>
      <c r="J423" s="41" t="n"/>
      <c r="K423" s="41" t="n"/>
      <c r="L423" s="42" t="n"/>
      <c r="M423" s="43" t="n"/>
      <c r="N423" s="43" t="n"/>
      <c r="O423" s="44" t="n"/>
      <c r="P423" s="45" t="n"/>
      <c r="Q423" s="45" t="n"/>
      <c r="S423" s="39" t="n"/>
    </row>
    <row r="424" ht="15.75" customHeight="1">
      <c r="F424" s="39" t="n"/>
      <c r="I424" s="40" t="n"/>
      <c r="J424" s="41" t="n"/>
      <c r="K424" s="41" t="n"/>
      <c r="L424" s="42" t="n"/>
      <c r="M424" s="43" t="n"/>
      <c r="N424" s="43" t="n"/>
      <c r="O424" s="44" t="n"/>
      <c r="P424" s="45" t="n"/>
      <c r="Q424" s="45" t="n"/>
      <c r="S424" s="39" t="n"/>
    </row>
    <row r="425" ht="15.75" customHeight="1">
      <c r="F425" s="39" t="n"/>
      <c r="I425" s="40" t="n"/>
      <c r="J425" s="41" t="n"/>
      <c r="K425" s="41" t="n"/>
      <c r="L425" s="42" t="n"/>
      <c r="M425" s="43" t="n"/>
      <c r="N425" s="43" t="n"/>
      <c r="O425" s="44" t="n"/>
      <c r="P425" s="45" t="n"/>
      <c r="Q425" s="45" t="n"/>
      <c r="S425" s="39" t="n"/>
    </row>
    <row r="426" ht="15.75" customHeight="1">
      <c r="F426" s="39" t="n"/>
      <c r="I426" s="40" t="n"/>
      <c r="J426" s="41" t="n"/>
      <c r="K426" s="41" t="n"/>
      <c r="L426" s="42" t="n"/>
      <c r="M426" s="43" t="n"/>
      <c r="N426" s="43" t="n"/>
      <c r="O426" s="44" t="n"/>
      <c r="P426" s="45" t="n"/>
      <c r="Q426" s="45" t="n"/>
      <c r="S426" s="39" t="n"/>
    </row>
    <row r="427" ht="15.75" customHeight="1">
      <c r="F427" s="39" t="n"/>
      <c r="I427" s="40" t="n"/>
      <c r="J427" s="41" t="n"/>
      <c r="K427" s="41" t="n"/>
      <c r="L427" s="42" t="n"/>
      <c r="M427" s="43" t="n"/>
      <c r="N427" s="43" t="n"/>
      <c r="O427" s="44" t="n"/>
      <c r="P427" s="45" t="n"/>
      <c r="Q427" s="45" t="n"/>
      <c r="S427" s="39" t="n"/>
    </row>
    <row r="428" ht="15.75" customHeight="1">
      <c r="F428" s="39" t="n"/>
      <c r="I428" s="40" t="n"/>
      <c r="J428" s="41" t="n"/>
      <c r="K428" s="41" t="n"/>
      <c r="L428" s="42" t="n"/>
      <c r="M428" s="43" t="n"/>
      <c r="N428" s="43" t="n"/>
      <c r="O428" s="44" t="n"/>
      <c r="P428" s="45" t="n"/>
      <c r="Q428" s="45" t="n"/>
      <c r="S428" s="39" t="n"/>
    </row>
    <row r="429" ht="15.75" customHeight="1">
      <c r="F429" s="39" t="n"/>
      <c r="I429" s="40" t="n"/>
      <c r="J429" s="41" t="n"/>
      <c r="K429" s="41" t="n"/>
      <c r="L429" s="42" t="n"/>
      <c r="M429" s="43" t="n"/>
      <c r="N429" s="43" t="n"/>
      <c r="O429" s="44" t="n"/>
      <c r="P429" s="45" t="n"/>
      <c r="Q429" s="45" t="n"/>
      <c r="S429" s="39" t="n"/>
    </row>
    <row r="430" ht="15.75" customHeight="1">
      <c r="F430" s="39" t="n"/>
      <c r="I430" s="40" t="n"/>
      <c r="J430" s="41" t="n"/>
      <c r="K430" s="41" t="n"/>
      <c r="L430" s="42" t="n"/>
      <c r="M430" s="43" t="n"/>
      <c r="N430" s="43" t="n"/>
      <c r="O430" s="44" t="n"/>
      <c r="P430" s="45" t="n"/>
      <c r="Q430" s="45" t="n"/>
      <c r="S430" s="39" t="n"/>
    </row>
    <row r="431" ht="15.75" customHeight="1">
      <c r="F431" s="39" t="n"/>
      <c r="I431" s="40" t="n"/>
      <c r="J431" s="41" t="n"/>
      <c r="K431" s="41" t="n"/>
      <c r="L431" s="42" t="n"/>
      <c r="M431" s="43" t="n"/>
      <c r="N431" s="43" t="n"/>
      <c r="O431" s="44" t="n"/>
      <c r="P431" s="45" t="n"/>
      <c r="Q431" s="45" t="n"/>
      <c r="S431" s="39" t="n"/>
    </row>
    <row r="432" ht="15.75" customHeight="1">
      <c r="F432" s="39" t="n"/>
      <c r="I432" s="40" t="n"/>
      <c r="J432" s="41" t="n"/>
      <c r="K432" s="41" t="n"/>
      <c r="L432" s="42" t="n"/>
      <c r="M432" s="43" t="n"/>
      <c r="N432" s="43" t="n"/>
      <c r="O432" s="44" t="n"/>
      <c r="P432" s="45" t="n"/>
      <c r="Q432" s="45" t="n"/>
      <c r="S432" s="39" t="n"/>
    </row>
    <row r="433" ht="15.75" customHeight="1">
      <c r="F433" s="39" t="n"/>
      <c r="I433" s="40" t="n"/>
      <c r="J433" s="41" t="n"/>
      <c r="K433" s="41" t="n"/>
      <c r="L433" s="42" t="n"/>
      <c r="M433" s="43" t="n"/>
      <c r="N433" s="43" t="n"/>
      <c r="O433" s="44" t="n"/>
      <c r="P433" s="45" t="n"/>
      <c r="Q433" s="45" t="n"/>
      <c r="S433" s="39" t="n"/>
    </row>
    <row r="434" ht="15.75" customHeight="1">
      <c r="F434" s="39" t="n"/>
      <c r="I434" s="40" t="n"/>
      <c r="J434" s="41" t="n"/>
      <c r="K434" s="41" t="n"/>
      <c r="L434" s="42" t="n"/>
      <c r="M434" s="43" t="n"/>
      <c r="N434" s="43" t="n"/>
      <c r="O434" s="44" t="n"/>
      <c r="P434" s="45" t="n"/>
      <c r="Q434" s="45" t="n"/>
      <c r="S434" s="39" t="n"/>
    </row>
    <row r="435" ht="15.75" customHeight="1">
      <c r="F435" s="39" t="n"/>
      <c r="I435" s="40" t="n"/>
      <c r="J435" s="41" t="n"/>
      <c r="K435" s="41" t="n"/>
      <c r="L435" s="42" t="n"/>
      <c r="M435" s="43" t="n"/>
      <c r="N435" s="43" t="n"/>
      <c r="O435" s="44" t="n"/>
      <c r="P435" s="45" t="n"/>
      <c r="Q435" s="45" t="n"/>
      <c r="S435" s="39" t="n"/>
    </row>
    <row r="436" ht="15.75" customHeight="1">
      <c r="F436" s="39" t="n"/>
      <c r="I436" s="40" t="n"/>
      <c r="J436" s="41" t="n"/>
      <c r="K436" s="41" t="n"/>
      <c r="L436" s="42" t="n"/>
      <c r="M436" s="43" t="n"/>
      <c r="N436" s="43" t="n"/>
      <c r="O436" s="44" t="n"/>
      <c r="P436" s="45" t="n"/>
      <c r="Q436" s="45" t="n"/>
      <c r="S436" s="39" t="n"/>
    </row>
    <row r="437" ht="15.75" customHeight="1">
      <c r="F437" s="39" t="n"/>
      <c r="I437" s="40" t="n"/>
      <c r="J437" s="41" t="n"/>
      <c r="K437" s="41" t="n"/>
      <c r="L437" s="42" t="n"/>
      <c r="M437" s="43" t="n"/>
      <c r="N437" s="43" t="n"/>
      <c r="O437" s="44" t="n"/>
      <c r="P437" s="45" t="n"/>
      <c r="Q437" s="45" t="n"/>
      <c r="S437" s="39" t="n"/>
    </row>
    <row r="438" ht="15.75" customHeight="1">
      <c r="F438" s="39" t="n"/>
      <c r="I438" s="40" t="n"/>
      <c r="J438" s="41" t="n"/>
      <c r="K438" s="41" t="n"/>
      <c r="L438" s="42" t="n"/>
      <c r="M438" s="43" t="n"/>
      <c r="N438" s="43" t="n"/>
      <c r="O438" s="44" t="n"/>
      <c r="P438" s="45" t="n"/>
      <c r="Q438" s="45" t="n"/>
      <c r="S438" s="39" t="n"/>
    </row>
    <row r="439" ht="15.75" customHeight="1">
      <c r="F439" s="39" t="n"/>
      <c r="I439" s="40" t="n"/>
      <c r="J439" s="41" t="n"/>
      <c r="K439" s="41" t="n"/>
      <c r="L439" s="42" t="n"/>
      <c r="M439" s="43" t="n"/>
      <c r="N439" s="43" t="n"/>
      <c r="O439" s="44" t="n"/>
      <c r="P439" s="45" t="n"/>
      <c r="Q439" s="45" t="n"/>
      <c r="S439" s="39" t="n"/>
    </row>
    <row r="440" ht="15.75" customHeight="1">
      <c r="F440" s="39" t="n"/>
      <c r="I440" s="40" t="n"/>
      <c r="J440" s="41" t="n"/>
      <c r="K440" s="41" t="n"/>
      <c r="L440" s="42" t="n"/>
      <c r="M440" s="43" t="n"/>
      <c r="N440" s="43" t="n"/>
      <c r="O440" s="44" t="n"/>
      <c r="P440" s="45" t="n"/>
      <c r="Q440" s="45" t="n"/>
      <c r="S440" s="39" t="n"/>
    </row>
    <row r="441" ht="15.75" customHeight="1">
      <c r="F441" s="39" t="n"/>
      <c r="I441" s="40" t="n"/>
      <c r="J441" s="41" t="n"/>
      <c r="K441" s="41" t="n"/>
      <c r="L441" s="42" t="n"/>
      <c r="M441" s="43" t="n"/>
      <c r="N441" s="43" t="n"/>
      <c r="O441" s="44" t="n"/>
      <c r="P441" s="45" t="n"/>
      <c r="Q441" s="45" t="n"/>
      <c r="S441" s="39" t="n"/>
    </row>
    <row r="442" ht="15.75" customHeight="1">
      <c r="F442" s="39" t="n"/>
      <c r="I442" s="40" t="n"/>
      <c r="J442" s="41" t="n"/>
      <c r="K442" s="41" t="n"/>
      <c r="L442" s="42" t="n"/>
      <c r="M442" s="43" t="n"/>
      <c r="N442" s="43" t="n"/>
      <c r="O442" s="44" t="n"/>
      <c r="P442" s="45" t="n"/>
      <c r="Q442" s="45" t="n"/>
      <c r="S442" s="39" t="n"/>
    </row>
    <row r="443" ht="15.75" customHeight="1">
      <c r="F443" s="39" t="n"/>
      <c r="I443" s="40" t="n"/>
      <c r="J443" s="41" t="n"/>
      <c r="K443" s="41" t="n"/>
      <c r="L443" s="42" t="n"/>
      <c r="M443" s="43" t="n"/>
      <c r="N443" s="43" t="n"/>
      <c r="O443" s="44" t="n"/>
      <c r="P443" s="45" t="n"/>
      <c r="Q443" s="45" t="n"/>
      <c r="S443" s="39" t="n"/>
    </row>
    <row r="444" ht="15.75" customHeight="1">
      <c r="F444" s="39" t="n"/>
      <c r="I444" s="40" t="n"/>
      <c r="J444" s="41" t="n"/>
      <c r="K444" s="41" t="n"/>
      <c r="L444" s="42" t="n"/>
      <c r="M444" s="43" t="n"/>
      <c r="N444" s="43" t="n"/>
      <c r="O444" s="44" t="n"/>
      <c r="P444" s="45" t="n"/>
      <c r="Q444" s="45" t="n"/>
      <c r="S444" s="39" t="n"/>
    </row>
    <row r="445" ht="15.75" customHeight="1">
      <c r="F445" s="39" t="n"/>
      <c r="I445" s="40" t="n"/>
      <c r="J445" s="41" t="n"/>
      <c r="K445" s="41" t="n"/>
      <c r="L445" s="42" t="n"/>
      <c r="M445" s="43" t="n"/>
      <c r="N445" s="43" t="n"/>
      <c r="O445" s="44" t="n"/>
      <c r="P445" s="45" t="n"/>
      <c r="Q445" s="45" t="n"/>
      <c r="S445" s="39" t="n"/>
    </row>
    <row r="446" ht="15.75" customHeight="1">
      <c r="F446" s="39" t="n"/>
      <c r="I446" s="40" t="n"/>
      <c r="J446" s="41" t="n"/>
      <c r="K446" s="41" t="n"/>
      <c r="L446" s="42" t="n"/>
      <c r="M446" s="43" t="n"/>
      <c r="N446" s="43" t="n"/>
      <c r="O446" s="44" t="n"/>
      <c r="P446" s="45" t="n"/>
      <c r="Q446" s="45" t="n"/>
      <c r="S446" s="39" t="n"/>
    </row>
    <row r="447" ht="15.75" customHeight="1">
      <c r="F447" s="39" t="n"/>
      <c r="I447" s="40" t="n"/>
      <c r="J447" s="41" t="n"/>
      <c r="K447" s="41" t="n"/>
      <c r="L447" s="42" t="n"/>
      <c r="M447" s="43" t="n"/>
      <c r="N447" s="43" t="n"/>
      <c r="O447" s="44" t="n"/>
      <c r="P447" s="45" t="n"/>
      <c r="Q447" s="45" t="n"/>
      <c r="S447" s="39" t="n"/>
    </row>
    <row r="448" ht="15.75" customHeight="1">
      <c r="F448" s="39" t="n"/>
      <c r="I448" s="40" t="n"/>
      <c r="J448" s="41" t="n"/>
      <c r="K448" s="41" t="n"/>
      <c r="L448" s="42" t="n"/>
      <c r="M448" s="43" t="n"/>
      <c r="N448" s="43" t="n"/>
      <c r="O448" s="44" t="n"/>
      <c r="P448" s="45" t="n"/>
      <c r="Q448" s="45" t="n"/>
      <c r="S448" s="39" t="n"/>
    </row>
    <row r="449" ht="15.75" customHeight="1">
      <c r="F449" s="39" t="n"/>
      <c r="I449" s="40" t="n"/>
      <c r="J449" s="41" t="n"/>
      <c r="K449" s="41" t="n"/>
      <c r="L449" s="42" t="n"/>
      <c r="M449" s="43" t="n"/>
      <c r="N449" s="43" t="n"/>
      <c r="O449" s="44" t="n"/>
      <c r="P449" s="45" t="n"/>
      <c r="Q449" s="45" t="n"/>
      <c r="S449" s="39" t="n"/>
    </row>
    <row r="450" ht="15.75" customHeight="1">
      <c r="F450" s="39" t="n"/>
      <c r="I450" s="40" t="n"/>
      <c r="J450" s="41" t="n"/>
      <c r="K450" s="41" t="n"/>
      <c r="L450" s="42" t="n"/>
      <c r="M450" s="43" t="n"/>
      <c r="N450" s="43" t="n"/>
      <c r="O450" s="44" t="n"/>
      <c r="P450" s="45" t="n"/>
      <c r="Q450" s="45" t="n"/>
      <c r="S450" s="39" t="n"/>
    </row>
    <row r="451" ht="15.75" customHeight="1">
      <c r="F451" s="39" t="n"/>
      <c r="I451" s="40" t="n"/>
      <c r="J451" s="41" t="n"/>
      <c r="K451" s="41" t="n"/>
      <c r="L451" s="42" t="n"/>
      <c r="M451" s="43" t="n"/>
      <c r="N451" s="43" t="n"/>
      <c r="O451" s="44" t="n"/>
      <c r="P451" s="45" t="n"/>
      <c r="Q451" s="45" t="n"/>
      <c r="S451" s="39" t="n"/>
    </row>
    <row r="452" ht="15.75" customHeight="1">
      <c r="F452" s="39" t="n"/>
      <c r="I452" s="40" t="n"/>
      <c r="J452" s="41" t="n"/>
      <c r="K452" s="41" t="n"/>
      <c r="L452" s="42" t="n"/>
      <c r="M452" s="43" t="n"/>
      <c r="N452" s="43" t="n"/>
      <c r="O452" s="44" t="n"/>
      <c r="P452" s="45" t="n"/>
      <c r="Q452" s="45" t="n"/>
      <c r="S452" s="39" t="n"/>
    </row>
    <row r="453" ht="15.75" customHeight="1">
      <c r="F453" s="39" t="n"/>
      <c r="I453" s="40" t="n"/>
      <c r="J453" s="41" t="n"/>
      <c r="K453" s="41" t="n"/>
      <c r="L453" s="42" t="n"/>
      <c r="M453" s="43" t="n"/>
      <c r="N453" s="43" t="n"/>
      <c r="O453" s="44" t="n"/>
      <c r="P453" s="45" t="n"/>
      <c r="Q453" s="45" t="n"/>
      <c r="S453" s="39" t="n"/>
    </row>
    <row r="454" ht="15.75" customHeight="1">
      <c r="F454" s="39" t="n"/>
      <c r="I454" s="40" t="n"/>
      <c r="J454" s="41" t="n"/>
      <c r="K454" s="41" t="n"/>
      <c r="L454" s="42" t="n"/>
      <c r="M454" s="43" t="n"/>
      <c r="N454" s="43" t="n"/>
      <c r="O454" s="44" t="n"/>
      <c r="P454" s="45" t="n"/>
      <c r="Q454" s="45" t="n"/>
      <c r="S454" s="39" t="n"/>
    </row>
    <row r="455" ht="15.75" customHeight="1">
      <c r="F455" s="39" t="n"/>
      <c r="I455" s="40" t="n"/>
      <c r="J455" s="41" t="n"/>
      <c r="K455" s="41" t="n"/>
      <c r="L455" s="42" t="n"/>
      <c r="M455" s="43" t="n"/>
      <c r="N455" s="43" t="n"/>
      <c r="O455" s="44" t="n"/>
      <c r="P455" s="45" t="n"/>
      <c r="Q455" s="45" t="n"/>
      <c r="S455" s="39" t="n"/>
    </row>
    <row r="456" ht="15.75" customHeight="1">
      <c r="F456" s="39" t="n"/>
      <c r="I456" s="40" t="n"/>
      <c r="J456" s="41" t="n"/>
      <c r="K456" s="41" t="n"/>
      <c r="L456" s="42" t="n"/>
      <c r="M456" s="43" t="n"/>
      <c r="N456" s="43" t="n"/>
      <c r="O456" s="44" t="n"/>
      <c r="P456" s="45" t="n"/>
      <c r="Q456" s="45" t="n"/>
      <c r="S456" s="39" t="n"/>
    </row>
    <row r="457" ht="15.75" customHeight="1">
      <c r="F457" s="39" t="n"/>
      <c r="I457" s="40" t="n"/>
      <c r="J457" s="41" t="n"/>
      <c r="K457" s="41" t="n"/>
      <c r="L457" s="42" t="n"/>
      <c r="M457" s="43" t="n"/>
      <c r="N457" s="43" t="n"/>
      <c r="O457" s="44" t="n"/>
      <c r="P457" s="45" t="n"/>
      <c r="Q457" s="45" t="n"/>
      <c r="S457" s="39" t="n"/>
    </row>
    <row r="458" ht="15.75" customHeight="1">
      <c r="F458" s="39" t="n"/>
      <c r="I458" s="40" t="n"/>
      <c r="J458" s="41" t="n"/>
      <c r="K458" s="41" t="n"/>
      <c r="L458" s="42" t="n"/>
      <c r="M458" s="43" t="n"/>
      <c r="N458" s="43" t="n"/>
      <c r="O458" s="44" t="n"/>
      <c r="P458" s="45" t="n"/>
      <c r="Q458" s="45" t="n"/>
      <c r="S458" s="39" t="n"/>
    </row>
    <row r="459" ht="15.75" customHeight="1">
      <c r="F459" s="39" t="n"/>
      <c r="I459" s="40" t="n"/>
      <c r="J459" s="41" t="n"/>
      <c r="K459" s="41" t="n"/>
      <c r="L459" s="42" t="n"/>
      <c r="M459" s="43" t="n"/>
      <c r="N459" s="43" t="n"/>
      <c r="O459" s="44" t="n"/>
      <c r="P459" s="45" t="n"/>
      <c r="Q459" s="45" t="n"/>
      <c r="S459" s="39" t="n"/>
    </row>
    <row r="460" ht="15.75" customHeight="1">
      <c r="F460" s="39" t="n"/>
      <c r="I460" s="40" t="n"/>
      <c r="J460" s="41" t="n"/>
      <c r="K460" s="41" t="n"/>
      <c r="L460" s="42" t="n"/>
      <c r="M460" s="43" t="n"/>
      <c r="N460" s="43" t="n"/>
      <c r="O460" s="44" t="n"/>
      <c r="P460" s="45" t="n"/>
      <c r="Q460" s="45" t="n"/>
      <c r="S460" s="39" t="n"/>
    </row>
    <row r="461" ht="15.75" customHeight="1">
      <c r="F461" s="39" t="n"/>
      <c r="I461" s="40" t="n"/>
      <c r="J461" s="41" t="n"/>
      <c r="K461" s="41" t="n"/>
      <c r="L461" s="42" t="n"/>
      <c r="M461" s="43" t="n"/>
      <c r="N461" s="43" t="n"/>
      <c r="O461" s="44" t="n"/>
      <c r="P461" s="45" t="n"/>
      <c r="Q461" s="45" t="n"/>
      <c r="S461" s="39" t="n"/>
    </row>
    <row r="462" ht="15.75" customHeight="1">
      <c r="F462" s="39" t="n"/>
      <c r="I462" s="40" t="n"/>
      <c r="J462" s="41" t="n"/>
      <c r="K462" s="41" t="n"/>
      <c r="L462" s="42" t="n"/>
      <c r="M462" s="43" t="n"/>
      <c r="N462" s="43" t="n"/>
      <c r="O462" s="44" t="n"/>
      <c r="P462" s="45" t="n"/>
      <c r="Q462" s="45" t="n"/>
      <c r="S462" s="39" t="n"/>
    </row>
    <row r="463" ht="15.75" customHeight="1">
      <c r="F463" s="39" t="n"/>
      <c r="I463" s="40" t="n"/>
      <c r="J463" s="41" t="n"/>
      <c r="K463" s="41" t="n"/>
      <c r="L463" s="42" t="n"/>
      <c r="M463" s="43" t="n"/>
      <c r="N463" s="43" t="n"/>
      <c r="O463" s="44" t="n"/>
      <c r="P463" s="45" t="n"/>
      <c r="Q463" s="45" t="n"/>
      <c r="S463" s="39" t="n"/>
    </row>
    <row r="464" ht="15.75" customHeight="1">
      <c r="F464" s="39" t="n"/>
      <c r="I464" s="40" t="n"/>
      <c r="J464" s="41" t="n"/>
      <c r="K464" s="41" t="n"/>
      <c r="L464" s="42" t="n"/>
      <c r="M464" s="43" t="n"/>
      <c r="N464" s="43" t="n"/>
      <c r="O464" s="44" t="n"/>
      <c r="P464" s="45" t="n"/>
      <c r="Q464" s="45" t="n"/>
      <c r="S464" s="39" t="n"/>
    </row>
    <row r="465" ht="15.75" customHeight="1">
      <c r="F465" s="39" t="n"/>
      <c r="I465" s="40" t="n"/>
      <c r="J465" s="41" t="n"/>
      <c r="K465" s="41" t="n"/>
      <c r="L465" s="42" t="n"/>
      <c r="M465" s="43" t="n"/>
      <c r="N465" s="43" t="n"/>
      <c r="O465" s="44" t="n"/>
      <c r="P465" s="45" t="n"/>
      <c r="Q465" s="45" t="n"/>
      <c r="S465" s="39" t="n"/>
    </row>
    <row r="466" ht="15.75" customHeight="1">
      <c r="F466" s="39" t="n"/>
      <c r="I466" s="40" t="n"/>
      <c r="J466" s="41" t="n"/>
      <c r="K466" s="41" t="n"/>
      <c r="L466" s="42" t="n"/>
      <c r="M466" s="43" t="n"/>
      <c r="N466" s="43" t="n"/>
      <c r="O466" s="44" t="n"/>
      <c r="P466" s="45" t="n"/>
      <c r="Q466" s="45" t="n"/>
      <c r="S466" s="39" t="n"/>
    </row>
    <row r="467" ht="15.75" customHeight="1">
      <c r="F467" s="39" t="n"/>
      <c r="I467" s="40" t="n"/>
      <c r="J467" s="41" t="n"/>
      <c r="K467" s="41" t="n"/>
      <c r="L467" s="42" t="n"/>
      <c r="M467" s="43" t="n"/>
      <c r="N467" s="43" t="n"/>
      <c r="O467" s="44" t="n"/>
      <c r="P467" s="45" t="n"/>
      <c r="Q467" s="45" t="n"/>
      <c r="S467" s="39" t="n"/>
    </row>
    <row r="468" ht="15.75" customHeight="1">
      <c r="F468" s="39" t="n"/>
      <c r="I468" s="40" t="n"/>
      <c r="J468" s="41" t="n"/>
      <c r="K468" s="41" t="n"/>
      <c r="L468" s="42" t="n"/>
      <c r="M468" s="43" t="n"/>
      <c r="N468" s="43" t="n"/>
      <c r="O468" s="44" t="n"/>
      <c r="P468" s="45" t="n"/>
      <c r="Q468" s="45" t="n"/>
      <c r="S468" s="39" t="n"/>
    </row>
    <row r="469" ht="15.75" customHeight="1">
      <c r="F469" s="39" t="n"/>
      <c r="I469" s="40" t="n"/>
      <c r="J469" s="41" t="n"/>
      <c r="K469" s="41" t="n"/>
      <c r="L469" s="42" t="n"/>
      <c r="M469" s="43" t="n"/>
      <c r="N469" s="43" t="n"/>
      <c r="O469" s="44" t="n"/>
      <c r="P469" s="45" t="n"/>
      <c r="Q469" s="45" t="n"/>
      <c r="S469" s="39" t="n"/>
    </row>
    <row r="470" ht="15.75" customHeight="1">
      <c r="F470" s="39" t="n"/>
      <c r="I470" s="40" t="n"/>
      <c r="J470" s="41" t="n"/>
      <c r="K470" s="41" t="n"/>
      <c r="L470" s="42" t="n"/>
      <c r="M470" s="43" t="n"/>
      <c r="N470" s="43" t="n"/>
      <c r="O470" s="44" t="n"/>
      <c r="P470" s="45" t="n"/>
      <c r="Q470" s="45" t="n"/>
      <c r="S470" s="39" t="n"/>
    </row>
    <row r="471" ht="15.75" customHeight="1">
      <c r="F471" s="39" t="n"/>
      <c r="I471" s="40" t="n"/>
      <c r="J471" s="41" t="n"/>
      <c r="K471" s="41" t="n"/>
      <c r="L471" s="42" t="n"/>
      <c r="M471" s="43" t="n"/>
      <c r="N471" s="43" t="n"/>
      <c r="O471" s="44" t="n"/>
      <c r="P471" s="45" t="n"/>
      <c r="Q471" s="45" t="n"/>
      <c r="S471" s="39" t="n"/>
    </row>
    <row r="472" ht="15.75" customHeight="1">
      <c r="F472" s="39" t="n"/>
      <c r="I472" s="40" t="n"/>
      <c r="J472" s="41" t="n"/>
      <c r="K472" s="41" t="n"/>
      <c r="L472" s="42" t="n"/>
      <c r="M472" s="43" t="n"/>
      <c r="N472" s="43" t="n"/>
      <c r="O472" s="44" t="n"/>
      <c r="P472" s="45" t="n"/>
      <c r="Q472" s="45" t="n"/>
      <c r="S472" s="39" t="n"/>
    </row>
    <row r="473" ht="15.75" customHeight="1">
      <c r="F473" s="39" t="n"/>
      <c r="I473" s="40" t="n"/>
      <c r="J473" s="41" t="n"/>
      <c r="K473" s="41" t="n"/>
      <c r="L473" s="42" t="n"/>
      <c r="M473" s="43" t="n"/>
      <c r="N473" s="43" t="n"/>
      <c r="O473" s="44" t="n"/>
      <c r="P473" s="45" t="n"/>
      <c r="Q473" s="45" t="n"/>
      <c r="S473" s="39" t="n"/>
    </row>
    <row r="474" ht="15.75" customHeight="1">
      <c r="F474" s="39" t="n"/>
      <c r="I474" s="40" t="n"/>
      <c r="J474" s="41" t="n"/>
      <c r="K474" s="41" t="n"/>
      <c r="L474" s="42" t="n"/>
      <c r="M474" s="43" t="n"/>
      <c r="N474" s="43" t="n"/>
      <c r="O474" s="44" t="n"/>
      <c r="P474" s="45" t="n"/>
      <c r="Q474" s="45" t="n"/>
      <c r="S474" s="39" t="n"/>
    </row>
    <row r="475" ht="15.75" customHeight="1">
      <c r="F475" s="39" t="n"/>
      <c r="I475" s="40" t="n"/>
      <c r="J475" s="41" t="n"/>
      <c r="K475" s="41" t="n"/>
      <c r="L475" s="42" t="n"/>
      <c r="M475" s="43" t="n"/>
      <c r="N475" s="43" t="n"/>
      <c r="O475" s="44" t="n"/>
      <c r="P475" s="45" t="n"/>
      <c r="Q475" s="45" t="n"/>
      <c r="S475" s="39" t="n"/>
    </row>
    <row r="476" ht="15.75" customHeight="1">
      <c r="F476" s="39" t="n"/>
      <c r="I476" s="40" t="n"/>
      <c r="J476" s="41" t="n"/>
      <c r="K476" s="41" t="n"/>
      <c r="L476" s="42" t="n"/>
      <c r="M476" s="43" t="n"/>
      <c r="N476" s="43" t="n"/>
      <c r="O476" s="44" t="n"/>
      <c r="P476" s="45" t="n"/>
      <c r="Q476" s="45" t="n"/>
      <c r="S476" s="39" t="n"/>
    </row>
    <row r="477" ht="15.75" customHeight="1">
      <c r="F477" s="39" t="n"/>
      <c r="I477" s="40" t="n"/>
      <c r="J477" s="41" t="n"/>
      <c r="K477" s="41" t="n"/>
      <c r="L477" s="42" t="n"/>
      <c r="M477" s="43" t="n"/>
      <c r="N477" s="43" t="n"/>
      <c r="O477" s="44" t="n"/>
      <c r="P477" s="45" t="n"/>
      <c r="Q477" s="45" t="n"/>
      <c r="S477" s="39" t="n"/>
    </row>
    <row r="478" ht="15.75" customHeight="1">
      <c r="F478" s="39" t="n"/>
      <c r="I478" s="40" t="n"/>
      <c r="J478" s="41" t="n"/>
      <c r="K478" s="41" t="n"/>
      <c r="L478" s="42" t="n"/>
      <c r="M478" s="43" t="n"/>
      <c r="N478" s="43" t="n"/>
      <c r="O478" s="44" t="n"/>
      <c r="P478" s="45" t="n"/>
      <c r="Q478" s="45" t="n"/>
      <c r="S478" s="39" t="n"/>
    </row>
    <row r="479" ht="15.75" customHeight="1">
      <c r="F479" s="39" t="n"/>
      <c r="I479" s="40" t="n"/>
      <c r="J479" s="41" t="n"/>
      <c r="K479" s="41" t="n"/>
      <c r="L479" s="42" t="n"/>
      <c r="M479" s="43" t="n"/>
      <c r="N479" s="43" t="n"/>
      <c r="O479" s="44" t="n"/>
      <c r="P479" s="45" t="n"/>
      <c r="Q479" s="45" t="n"/>
      <c r="S479" s="39" t="n"/>
    </row>
    <row r="480" ht="15.75" customHeight="1">
      <c r="F480" s="39" t="n"/>
      <c r="I480" s="40" t="n"/>
      <c r="J480" s="41" t="n"/>
      <c r="K480" s="41" t="n"/>
      <c r="L480" s="42" t="n"/>
      <c r="M480" s="43" t="n"/>
      <c r="N480" s="43" t="n"/>
      <c r="O480" s="44" t="n"/>
      <c r="P480" s="45" t="n"/>
      <c r="Q480" s="45" t="n"/>
      <c r="S480" s="39" t="n"/>
    </row>
    <row r="481" ht="15.75" customHeight="1">
      <c r="F481" s="39" t="n"/>
      <c r="I481" s="40" t="n"/>
      <c r="J481" s="41" t="n"/>
      <c r="K481" s="41" t="n"/>
      <c r="L481" s="42" t="n"/>
      <c r="M481" s="43" t="n"/>
      <c r="N481" s="43" t="n"/>
      <c r="O481" s="44" t="n"/>
      <c r="P481" s="45" t="n"/>
      <c r="Q481" s="45" t="n"/>
      <c r="S481" s="39" t="n"/>
    </row>
    <row r="482" ht="15.75" customHeight="1">
      <c r="F482" s="39" t="n"/>
      <c r="I482" s="40" t="n"/>
      <c r="J482" s="41" t="n"/>
      <c r="K482" s="41" t="n"/>
      <c r="L482" s="42" t="n"/>
      <c r="M482" s="43" t="n"/>
      <c r="N482" s="43" t="n"/>
      <c r="O482" s="44" t="n"/>
      <c r="P482" s="45" t="n"/>
      <c r="Q482" s="45" t="n"/>
      <c r="S482" s="39" t="n"/>
    </row>
    <row r="483" ht="15.75" customHeight="1">
      <c r="F483" s="39" t="n"/>
      <c r="I483" s="40" t="n"/>
      <c r="J483" s="41" t="n"/>
      <c r="K483" s="41" t="n"/>
      <c r="L483" s="42" t="n"/>
      <c r="M483" s="43" t="n"/>
      <c r="N483" s="43" t="n"/>
      <c r="O483" s="44" t="n"/>
      <c r="P483" s="45" t="n"/>
      <c r="Q483" s="45" t="n"/>
      <c r="S483" s="39" t="n"/>
    </row>
    <row r="484" ht="15.75" customHeight="1">
      <c r="F484" s="39" t="n"/>
      <c r="I484" s="40" t="n"/>
      <c r="J484" s="41" t="n"/>
      <c r="K484" s="41" t="n"/>
      <c r="L484" s="42" t="n"/>
      <c r="M484" s="43" t="n"/>
      <c r="N484" s="43" t="n"/>
      <c r="O484" s="44" t="n"/>
      <c r="P484" s="45" t="n"/>
      <c r="Q484" s="45" t="n"/>
      <c r="S484" s="39" t="n"/>
    </row>
    <row r="485" ht="15.75" customHeight="1">
      <c r="F485" s="39" t="n"/>
      <c r="I485" s="40" t="n"/>
      <c r="J485" s="41" t="n"/>
      <c r="K485" s="41" t="n"/>
      <c r="L485" s="42" t="n"/>
      <c r="M485" s="43" t="n"/>
      <c r="N485" s="43" t="n"/>
      <c r="O485" s="44" t="n"/>
      <c r="P485" s="45" t="n"/>
      <c r="Q485" s="45" t="n"/>
      <c r="S485" s="39" t="n"/>
    </row>
    <row r="486" ht="15.75" customHeight="1">
      <c r="F486" s="39" t="n"/>
      <c r="I486" s="40" t="n"/>
      <c r="J486" s="41" t="n"/>
      <c r="K486" s="41" t="n"/>
      <c r="L486" s="42" t="n"/>
      <c r="M486" s="43" t="n"/>
      <c r="N486" s="43" t="n"/>
      <c r="O486" s="44" t="n"/>
      <c r="P486" s="45" t="n"/>
      <c r="Q486" s="45" t="n"/>
      <c r="S486" s="39" t="n"/>
    </row>
    <row r="487" ht="15.75" customHeight="1">
      <c r="F487" s="39" t="n"/>
      <c r="I487" s="40" t="n"/>
      <c r="J487" s="41" t="n"/>
      <c r="K487" s="41" t="n"/>
      <c r="L487" s="42" t="n"/>
      <c r="M487" s="43" t="n"/>
      <c r="N487" s="43" t="n"/>
      <c r="O487" s="44" t="n"/>
      <c r="P487" s="45" t="n"/>
      <c r="Q487" s="45" t="n"/>
      <c r="S487" s="39" t="n"/>
    </row>
    <row r="488" ht="15.75" customHeight="1">
      <c r="F488" s="39" t="n"/>
      <c r="I488" s="40" t="n"/>
      <c r="J488" s="41" t="n"/>
      <c r="K488" s="41" t="n"/>
      <c r="L488" s="42" t="n"/>
      <c r="M488" s="43" t="n"/>
      <c r="N488" s="43" t="n"/>
      <c r="O488" s="44" t="n"/>
      <c r="P488" s="45" t="n"/>
      <c r="Q488" s="45" t="n"/>
      <c r="S488" s="39" t="n"/>
    </row>
    <row r="489" ht="15.75" customHeight="1">
      <c r="F489" s="39" t="n"/>
      <c r="I489" s="40" t="n"/>
      <c r="J489" s="41" t="n"/>
      <c r="K489" s="41" t="n"/>
      <c r="L489" s="42" t="n"/>
      <c r="M489" s="43" t="n"/>
      <c r="N489" s="43" t="n"/>
      <c r="O489" s="44" t="n"/>
      <c r="P489" s="45" t="n"/>
      <c r="Q489" s="45" t="n"/>
      <c r="S489" s="39" t="n"/>
    </row>
    <row r="490" ht="15.75" customHeight="1">
      <c r="F490" s="39" t="n"/>
      <c r="I490" s="40" t="n"/>
      <c r="J490" s="41" t="n"/>
      <c r="K490" s="41" t="n"/>
      <c r="L490" s="42" t="n"/>
      <c r="M490" s="43" t="n"/>
      <c r="N490" s="43" t="n"/>
      <c r="O490" s="44" t="n"/>
      <c r="P490" s="45" t="n"/>
      <c r="Q490" s="45" t="n"/>
      <c r="S490" s="39" t="n"/>
    </row>
    <row r="491" ht="15.75" customHeight="1">
      <c r="F491" s="39" t="n"/>
      <c r="I491" s="40" t="n"/>
      <c r="J491" s="41" t="n"/>
      <c r="K491" s="41" t="n"/>
      <c r="L491" s="42" t="n"/>
      <c r="M491" s="43" t="n"/>
      <c r="N491" s="43" t="n"/>
      <c r="O491" s="44" t="n"/>
      <c r="P491" s="45" t="n"/>
      <c r="Q491" s="45" t="n"/>
      <c r="S491" s="39" t="n"/>
    </row>
    <row r="492" ht="15.75" customHeight="1">
      <c r="F492" s="39" t="n"/>
      <c r="I492" s="40" t="n"/>
      <c r="J492" s="41" t="n"/>
      <c r="K492" s="41" t="n"/>
      <c r="L492" s="42" t="n"/>
      <c r="M492" s="43" t="n"/>
      <c r="N492" s="43" t="n"/>
      <c r="O492" s="44" t="n"/>
      <c r="P492" s="45" t="n"/>
      <c r="Q492" s="45" t="n"/>
      <c r="S492" s="39" t="n"/>
    </row>
    <row r="493" ht="15.75" customHeight="1">
      <c r="F493" s="39" t="n"/>
      <c r="I493" s="40" t="n"/>
      <c r="J493" s="41" t="n"/>
      <c r="K493" s="41" t="n"/>
      <c r="L493" s="42" t="n"/>
      <c r="M493" s="43" t="n"/>
      <c r="N493" s="43" t="n"/>
      <c r="O493" s="44" t="n"/>
      <c r="P493" s="45" t="n"/>
      <c r="Q493" s="45" t="n"/>
      <c r="S493" s="39" t="n"/>
    </row>
    <row r="494" ht="15.75" customHeight="1">
      <c r="F494" s="39" t="n"/>
      <c r="I494" s="40" t="n"/>
      <c r="J494" s="41" t="n"/>
      <c r="K494" s="41" t="n"/>
      <c r="L494" s="42" t="n"/>
      <c r="M494" s="43" t="n"/>
      <c r="N494" s="43" t="n"/>
      <c r="O494" s="44" t="n"/>
      <c r="P494" s="45" t="n"/>
      <c r="Q494" s="45" t="n"/>
      <c r="S494" s="39" t="n"/>
    </row>
    <row r="495" ht="15.75" customHeight="1">
      <c r="F495" s="39" t="n"/>
      <c r="I495" s="40" t="n"/>
      <c r="J495" s="41" t="n"/>
      <c r="K495" s="41" t="n"/>
      <c r="L495" s="42" t="n"/>
      <c r="M495" s="43" t="n"/>
      <c r="N495" s="43" t="n"/>
      <c r="O495" s="44" t="n"/>
      <c r="P495" s="45" t="n"/>
      <c r="Q495" s="45" t="n"/>
      <c r="S495" s="39" t="n"/>
    </row>
    <row r="496" ht="15.75" customHeight="1">
      <c r="F496" s="39" t="n"/>
      <c r="I496" s="40" t="n"/>
      <c r="J496" s="41" t="n"/>
      <c r="K496" s="41" t="n"/>
      <c r="L496" s="42" t="n"/>
      <c r="M496" s="43" t="n"/>
      <c r="N496" s="43" t="n"/>
      <c r="O496" s="44" t="n"/>
      <c r="P496" s="45" t="n"/>
      <c r="Q496" s="45" t="n"/>
      <c r="S496" s="39" t="n"/>
    </row>
    <row r="497" ht="15.75" customHeight="1">
      <c r="F497" s="39" t="n"/>
      <c r="I497" s="40" t="n"/>
      <c r="J497" s="41" t="n"/>
      <c r="K497" s="41" t="n"/>
      <c r="L497" s="42" t="n"/>
      <c r="M497" s="43" t="n"/>
      <c r="N497" s="43" t="n"/>
      <c r="O497" s="44" t="n"/>
      <c r="P497" s="45" t="n"/>
      <c r="Q497" s="45" t="n"/>
      <c r="S497" s="39" t="n"/>
    </row>
    <row r="498" ht="15.75" customHeight="1">
      <c r="F498" s="39" t="n"/>
      <c r="I498" s="40" t="n"/>
      <c r="J498" s="41" t="n"/>
      <c r="K498" s="41" t="n"/>
      <c r="L498" s="42" t="n"/>
      <c r="M498" s="43" t="n"/>
      <c r="N498" s="43" t="n"/>
      <c r="O498" s="44" t="n"/>
      <c r="P498" s="45" t="n"/>
      <c r="Q498" s="45" t="n"/>
      <c r="S498" s="39" t="n"/>
    </row>
    <row r="499" ht="15.75" customHeight="1">
      <c r="F499" s="39" t="n"/>
      <c r="I499" s="40" t="n"/>
      <c r="J499" s="41" t="n"/>
      <c r="K499" s="41" t="n"/>
      <c r="L499" s="42" t="n"/>
      <c r="M499" s="43" t="n"/>
      <c r="N499" s="43" t="n"/>
      <c r="O499" s="44" t="n"/>
      <c r="P499" s="45" t="n"/>
      <c r="Q499" s="45" t="n"/>
      <c r="S499" s="39" t="n"/>
    </row>
    <row r="500" ht="15.75" customHeight="1">
      <c r="F500" s="39" t="n"/>
      <c r="I500" s="40" t="n"/>
      <c r="J500" s="41" t="n"/>
      <c r="K500" s="41" t="n"/>
      <c r="L500" s="42" t="n"/>
      <c r="M500" s="43" t="n"/>
      <c r="N500" s="43" t="n"/>
      <c r="O500" s="44" t="n"/>
      <c r="P500" s="45" t="n"/>
      <c r="Q500" s="45" t="n"/>
      <c r="S500" s="39" t="n"/>
    </row>
    <row r="501" ht="15.75" customHeight="1">
      <c r="F501" s="39" t="n"/>
      <c r="I501" s="40" t="n"/>
      <c r="J501" s="41" t="n"/>
      <c r="K501" s="41" t="n"/>
      <c r="L501" s="42" t="n"/>
      <c r="M501" s="43" t="n"/>
      <c r="N501" s="43" t="n"/>
      <c r="O501" s="44" t="n"/>
      <c r="P501" s="45" t="n"/>
      <c r="Q501" s="45" t="n"/>
      <c r="S501" s="39" t="n"/>
    </row>
    <row r="502" ht="15.75" customHeight="1">
      <c r="F502" s="39" t="n"/>
      <c r="I502" s="40" t="n"/>
      <c r="J502" s="41" t="n"/>
      <c r="K502" s="41" t="n"/>
      <c r="L502" s="42" t="n"/>
      <c r="M502" s="43" t="n"/>
      <c r="N502" s="43" t="n"/>
      <c r="O502" s="44" t="n"/>
      <c r="P502" s="45" t="n"/>
      <c r="Q502" s="45" t="n"/>
      <c r="S502" s="39" t="n"/>
    </row>
    <row r="503" ht="15.75" customHeight="1">
      <c r="F503" s="39" t="n"/>
      <c r="I503" s="40" t="n"/>
      <c r="J503" s="41" t="n"/>
      <c r="K503" s="41" t="n"/>
      <c r="L503" s="42" t="n"/>
      <c r="M503" s="43" t="n"/>
      <c r="N503" s="43" t="n"/>
      <c r="O503" s="44" t="n"/>
      <c r="P503" s="45" t="n"/>
      <c r="Q503" s="45" t="n"/>
      <c r="S503" s="39" t="n"/>
    </row>
    <row r="504" ht="15.75" customHeight="1">
      <c r="F504" s="39" t="n"/>
      <c r="I504" s="40" t="n"/>
      <c r="J504" s="41" t="n"/>
      <c r="K504" s="41" t="n"/>
      <c r="L504" s="42" t="n"/>
      <c r="M504" s="43" t="n"/>
      <c r="N504" s="43" t="n"/>
      <c r="O504" s="44" t="n"/>
      <c r="P504" s="45" t="n"/>
      <c r="Q504" s="45" t="n"/>
      <c r="S504" s="39" t="n"/>
    </row>
    <row r="505" ht="15.75" customHeight="1">
      <c r="F505" s="39" t="n"/>
      <c r="I505" s="40" t="n"/>
      <c r="J505" s="41" t="n"/>
      <c r="K505" s="41" t="n"/>
      <c r="L505" s="42" t="n"/>
      <c r="M505" s="43" t="n"/>
      <c r="N505" s="43" t="n"/>
      <c r="O505" s="44" t="n"/>
      <c r="P505" s="45" t="n"/>
      <c r="Q505" s="45" t="n"/>
      <c r="S505" s="39" t="n"/>
    </row>
    <row r="506" ht="15.75" customHeight="1">
      <c r="F506" s="39" t="n"/>
      <c r="I506" s="40" t="n"/>
      <c r="J506" s="41" t="n"/>
      <c r="K506" s="41" t="n"/>
      <c r="L506" s="42" t="n"/>
      <c r="M506" s="43" t="n"/>
      <c r="N506" s="43" t="n"/>
      <c r="O506" s="44" t="n"/>
      <c r="P506" s="45" t="n"/>
      <c r="Q506" s="45" t="n"/>
      <c r="S506" s="39" t="n"/>
    </row>
    <row r="507" ht="15.75" customHeight="1">
      <c r="F507" s="39" t="n"/>
      <c r="I507" s="40" t="n"/>
      <c r="J507" s="41" t="n"/>
      <c r="K507" s="41" t="n"/>
      <c r="L507" s="42" t="n"/>
      <c r="M507" s="43" t="n"/>
      <c r="N507" s="43" t="n"/>
      <c r="O507" s="44" t="n"/>
      <c r="P507" s="45" t="n"/>
      <c r="Q507" s="45" t="n"/>
      <c r="S507" s="39" t="n"/>
    </row>
    <row r="508" ht="15.75" customHeight="1">
      <c r="F508" s="39" t="n"/>
      <c r="I508" s="40" t="n"/>
      <c r="J508" s="41" t="n"/>
      <c r="K508" s="41" t="n"/>
      <c r="L508" s="42" t="n"/>
      <c r="M508" s="43" t="n"/>
      <c r="N508" s="43" t="n"/>
      <c r="O508" s="44" t="n"/>
      <c r="P508" s="45" t="n"/>
      <c r="Q508" s="45" t="n"/>
      <c r="S508" s="39" t="n"/>
    </row>
    <row r="509" ht="15.75" customHeight="1">
      <c r="F509" s="39" t="n"/>
      <c r="I509" s="40" t="n"/>
      <c r="J509" s="41" t="n"/>
      <c r="K509" s="41" t="n"/>
      <c r="L509" s="42" t="n"/>
      <c r="M509" s="43" t="n"/>
      <c r="N509" s="43" t="n"/>
      <c r="O509" s="44" t="n"/>
      <c r="P509" s="45" t="n"/>
      <c r="Q509" s="45" t="n"/>
      <c r="S509" s="39" t="n"/>
    </row>
    <row r="510" ht="15.75" customHeight="1">
      <c r="F510" s="39" t="n"/>
      <c r="I510" s="40" t="n"/>
      <c r="J510" s="41" t="n"/>
      <c r="K510" s="41" t="n"/>
      <c r="L510" s="42" t="n"/>
      <c r="M510" s="43" t="n"/>
      <c r="N510" s="43" t="n"/>
      <c r="O510" s="44" t="n"/>
      <c r="P510" s="45" t="n"/>
      <c r="Q510" s="45" t="n"/>
      <c r="S510" s="39" t="n"/>
    </row>
    <row r="511" ht="15.75" customHeight="1">
      <c r="F511" s="39" t="n"/>
      <c r="I511" s="40" t="n"/>
      <c r="J511" s="41" t="n"/>
      <c r="K511" s="41" t="n"/>
      <c r="L511" s="42" t="n"/>
      <c r="M511" s="43" t="n"/>
      <c r="N511" s="43" t="n"/>
      <c r="O511" s="44" t="n"/>
      <c r="P511" s="45" t="n"/>
      <c r="Q511" s="45" t="n"/>
      <c r="S511" s="39" t="n"/>
    </row>
    <row r="512" ht="15.75" customHeight="1">
      <c r="F512" s="39" t="n"/>
      <c r="I512" s="40" t="n"/>
      <c r="J512" s="41" t="n"/>
      <c r="K512" s="41" t="n"/>
      <c r="L512" s="42" t="n"/>
      <c r="M512" s="43" t="n"/>
      <c r="N512" s="43" t="n"/>
      <c r="O512" s="44" t="n"/>
      <c r="P512" s="45" t="n"/>
      <c r="Q512" s="45" t="n"/>
      <c r="S512" s="39" t="n"/>
    </row>
    <row r="513" ht="15.75" customHeight="1">
      <c r="F513" s="39" t="n"/>
      <c r="I513" s="40" t="n"/>
      <c r="J513" s="41" t="n"/>
      <c r="K513" s="41" t="n"/>
      <c r="L513" s="42" t="n"/>
      <c r="M513" s="43" t="n"/>
      <c r="N513" s="43" t="n"/>
      <c r="O513" s="44" t="n"/>
      <c r="P513" s="45" t="n"/>
      <c r="Q513" s="45" t="n"/>
      <c r="S513" s="39" t="n"/>
    </row>
    <row r="514" ht="15.75" customHeight="1">
      <c r="F514" s="39" t="n"/>
      <c r="I514" s="40" t="n"/>
      <c r="J514" s="41" t="n"/>
      <c r="K514" s="41" t="n"/>
      <c r="L514" s="42" t="n"/>
      <c r="M514" s="43" t="n"/>
      <c r="N514" s="43" t="n"/>
      <c r="O514" s="44" t="n"/>
      <c r="P514" s="45" t="n"/>
      <c r="Q514" s="45" t="n"/>
      <c r="S514" s="39" t="n"/>
    </row>
    <row r="515" ht="15.75" customHeight="1">
      <c r="F515" s="39" t="n"/>
      <c r="I515" s="40" t="n"/>
      <c r="J515" s="41" t="n"/>
      <c r="K515" s="41" t="n"/>
      <c r="L515" s="42" t="n"/>
      <c r="M515" s="43" t="n"/>
      <c r="N515" s="43" t="n"/>
      <c r="O515" s="44" t="n"/>
      <c r="P515" s="45" t="n"/>
      <c r="Q515" s="45" t="n"/>
      <c r="S515" s="39" t="n"/>
    </row>
    <row r="516" ht="15.75" customHeight="1">
      <c r="F516" s="39" t="n"/>
      <c r="I516" s="40" t="n"/>
      <c r="J516" s="41" t="n"/>
      <c r="K516" s="41" t="n"/>
      <c r="L516" s="42" t="n"/>
      <c r="M516" s="43" t="n"/>
      <c r="N516" s="43" t="n"/>
      <c r="O516" s="44" t="n"/>
      <c r="P516" s="45" t="n"/>
      <c r="Q516" s="45" t="n"/>
      <c r="S516" s="39" t="n"/>
    </row>
    <row r="517" ht="15.75" customHeight="1">
      <c r="F517" s="39" t="n"/>
      <c r="I517" s="40" t="n"/>
      <c r="J517" s="41" t="n"/>
      <c r="K517" s="41" t="n"/>
      <c r="L517" s="42" t="n"/>
      <c r="M517" s="43" t="n"/>
      <c r="N517" s="43" t="n"/>
      <c r="O517" s="44" t="n"/>
      <c r="P517" s="45" t="n"/>
      <c r="Q517" s="45" t="n"/>
      <c r="S517" s="39" t="n"/>
    </row>
    <row r="518" ht="15.75" customHeight="1">
      <c r="F518" s="39" t="n"/>
      <c r="I518" s="40" t="n"/>
      <c r="J518" s="41" t="n"/>
      <c r="K518" s="41" t="n"/>
      <c r="L518" s="42" t="n"/>
      <c r="M518" s="43" t="n"/>
      <c r="N518" s="43" t="n"/>
      <c r="O518" s="44" t="n"/>
      <c r="P518" s="45" t="n"/>
      <c r="Q518" s="45" t="n"/>
      <c r="S518" s="39" t="n"/>
    </row>
    <row r="519" ht="15.75" customHeight="1">
      <c r="F519" s="39" t="n"/>
      <c r="I519" s="40" t="n"/>
      <c r="J519" s="41" t="n"/>
      <c r="K519" s="41" t="n"/>
      <c r="L519" s="42" t="n"/>
      <c r="M519" s="43" t="n"/>
      <c r="N519" s="43" t="n"/>
      <c r="O519" s="44" t="n"/>
      <c r="P519" s="45" t="n"/>
      <c r="Q519" s="45" t="n"/>
      <c r="S519" s="39" t="n"/>
    </row>
    <row r="520" ht="15.75" customHeight="1">
      <c r="F520" s="39" t="n"/>
      <c r="I520" s="40" t="n"/>
      <c r="J520" s="41" t="n"/>
      <c r="K520" s="41" t="n"/>
      <c r="L520" s="42" t="n"/>
      <c r="M520" s="43" t="n"/>
      <c r="N520" s="43" t="n"/>
      <c r="O520" s="44" t="n"/>
      <c r="P520" s="45" t="n"/>
      <c r="Q520" s="45" t="n"/>
      <c r="S520" s="39" t="n"/>
    </row>
    <row r="521" ht="15.75" customHeight="1">
      <c r="F521" s="39" t="n"/>
      <c r="I521" s="40" t="n"/>
      <c r="J521" s="41" t="n"/>
      <c r="K521" s="41" t="n"/>
      <c r="L521" s="42" t="n"/>
      <c r="M521" s="43" t="n"/>
      <c r="N521" s="43" t="n"/>
      <c r="O521" s="44" t="n"/>
      <c r="P521" s="45" t="n"/>
      <c r="Q521" s="45" t="n"/>
      <c r="S521" s="39" t="n"/>
    </row>
    <row r="522" ht="15.75" customHeight="1">
      <c r="F522" s="39" t="n"/>
      <c r="I522" s="40" t="n"/>
      <c r="J522" s="41" t="n"/>
      <c r="K522" s="41" t="n"/>
      <c r="L522" s="42" t="n"/>
      <c r="M522" s="43" t="n"/>
      <c r="N522" s="43" t="n"/>
      <c r="O522" s="44" t="n"/>
      <c r="P522" s="45" t="n"/>
      <c r="Q522" s="45" t="n"/>
      <c r="S522" s="39" t="n"/>
    </row>
    <row r="523" ht="15.75" customHeight="1">
      <c r="F523" s="39" t="n"/>
      <c r="I523" s="40" t="n"/>
      <c r="J523" s="41" t="n"/>
      <c r="K523" s="41" t="n"/>
      <c r="L523" s="42" t="n"/>
      <c r="M523" s="43" t="n"/>
      <c r="N523" s="43" t="n"/>
      <c r="O523" s="44" t="n"/>
      <c r="P523" s="45" t="n"/>
      <c r="Q523" s="45" t="n"/>
      <c r="S523" s="39" t="n"/>
    </row>
    <row r="524" ht="15.75" customHeight="1">
      <c r="F524" s="39" t="n"/>
      <c r="I524" s="40" t="n"/>
      <c r="J524" s="41" t="n"/>
      <c r="K524" s="41" t="n"/>
      <c r="L524" s="42" t="n"/>
      <c r="M524" s="43" t="n"/>
      <c r="N524" s="43" t="n"/>
      <c r="O524" s="44" t="n"/>
      <c r="P524" s="45" t="n"/>
      <c r="Q524" s="45" t="n"/>
      <c r="S524" s="39" t="n"/>
    </row>
    <row r="525" ht="15.75" customHeight="1">
      <c r="F525" s="39" t="n"/>
      <c r="I525" s="40" t="n"/>
      <c r="J525" s="41" t="n"/>
      <c r="K525" s="41" t="n"/>
      <c r="L525" s="42" t="n"/>
      <c r="M525" s="43" t="n"/>
      <c r="N525" s="43" t="n"/>
      <c r="O525" s="44" t="n"/>
      <c r="P525" s="45" t="n"/>
      <c r="Q525" s="45" t="n"/>
      <c r="S525" s="39" t="n"/>
    </row>
    <row r="526" ht="15.75" customHeight="1">
      <c r="F526" s="39" t="n"/>
      <c r="I526" s="40" t="n"/>
      <c r="J526" s="41" t="n"/>
      <c r="K526" s="41" t="n"/>
      <c r="L526" s="42" t="n"/>
      <c r="M526" s="43" t="n"/>
      <c r="N526" s="43" t="n"/>
      <c r="O526" s="44" t="n"/>
      <c r="P526" s="45" t="n"/>
      <c r="Q526" s="45" t="n"/>
      <c r="S526" s="39" t="n"/>
    </row>
    <row r="527" ht="15.75" customHeight="1">
      <c r="F527" s="39" t="n"/>
      <c r="I527" s="40" t="n"/>
      <c r="J527" s="41" t="n"/>
      <c r="K527" s="41" t="n"/>
      <c r="L527" s="42" t="n"/>
      <c r="M527" s="43" t="n"/>
      <c r="N527" s="43" t="n"/>
      <c r="O527" s="44" t="n"/>
      <c r="P527" s="45" t="n"/>
      <c r="Q527" s="45" t="n"/>
      <c r="S527" s="39" t="n"/>
    </row>
    <row r="528" ht="15.75" customHeight="1">
      <c r="F528" s="39" t="n"/>
      <c r="I528" s="40" t="n"/>
      <c r="J528" s="41" t="n"/>
      <c r="K528" s="41" t="n"/>
      <c r="L528" s="42" t="n"/>
      <c r="M528" s="43" t="n"/>
      <c r="N528" s="43" t="n"/>
      <c r="O528" s="44" t="n"/>
      <c r="P528" s="45" t="n"/>
      <c r="Q528" s="45" t="n"/>
      <c r="S528" s="39" t="n"/>
    </row>
    <row r="529" ht="15.75" customHeight="1">
      <c r="F529" s="39" t="n"/>
      <c r="I529" s="40" t="n"/>
      <c r="J529" s="41" t="n"/>
      <c r="K529" s="41" t="n"/>
      <c r="L529" s="42" t="n"/>
      <c r="M529" s="43" t="n"/>
      <c r="N529" s="43" t="n"/>
      <c r="O529" s="44" t="n"/>
      <c r="P529" s="45" t="n"/>
      <c r="Q529" s="45" t="n"/>
      <c r="S529" s="39" t="n"/>
    </row>
    <row r="530" ht="15.75" customHeight="1">
      <c r="F530" s="39" t="n"/>
      <c r="I530" s="40" t="n"/>
      <c r="J530" s="41" t="n"/>
      <c r="K530" s="41" t="n"/>
      <c r="L530" s="42" t="n"/>
      <c r="M530" s="43" t="n"/>
      <c r="N530" s="43" t="n"/>
      <c r="O530" s="44" t="n"/>
      <c r="P530" s="45" t="n"/>
      <c r="Q530" s="45" t="n"/>
      <c r="S530" s="39" t="n"/>
    </row>
    <row r="531" ht="15.75" customHeight="1">
      <c r="F531" s="39" t="n"/>
      <c r="I531" s="40" t="n"/>
      <c r="J531" s="41" t="n"/>
      <c r="K531" s="41" t="n"/>
      <c r="L531" s="42" t="n"/>
      <c r="M531" s="43" t="n"/>
      <c r="N531" s="43" t="n"/>
      <c r="O531" s="44" t="n"/>
      <c r="P531" s="45" t="n"/>
      <c r="Q531" s="45" t="n"/>
      <c r="S531" s="39" t="n"/>
    </row>
    <row r="532" ht="15.75" customHeight="1">
      <c r="F532" s="39" t="n"/>
      <c r="I532" s="40" t="n"/>
      <c r="J532" s="41" t="n"/>
      <c r="K532" s="41" t="n"/>
      <c r="L532" s="42" t="n"/>
      <c r="M532" s="43" t="n"/>
      <c r="N532" s="43" t="n"/>
      <c r="O532" s="44" t="n"/>
      <c r="P532" s="45" t="n"/>
      <c r="Q532" s="45" t="n"/>
      <c r="S532" s="39" t="n"/>
    </row>
    <row r="533" ht="15.75" customHeight="1">
      <c r="F533" s="39" t="n"/>
      <c r="I533" s="40" t="n"/>
      <c r="J533" s="41" t="n"/>
      <c r="K533" s="41" t="n"/>
      <c r="L533" s="42" t="n"/>
      <c r="M533" s="43" t="n"/>
      <c r="N533" s="43" t="n"/>
      <c r="O533" s="44" t="n"/>
      <c r="P533" s="45" t="n"/>
      <c r="Q533" s="45" t="n"/>
      <c r="S533" s="39" t="n"/>
    </row>
    <row r="534" ht="15.75" customHeight="1">
      <c r="F534" s="39" t="n"/>
      <c r="I534" s="40" t="n"/>
      <c r="J534" s="41" t="n"/>
      <c r="K534" s="41" t="n"/>
      <c r="L534" s="42" t="n"/>
      <c r="M534" s="43" t="n"/>
      <c r="N534" s="43" t="n"/>
      <c r="O534" s="44" t="n"/>
      <c r="P534" s="45" t="n"/>
      <c r="Q534" s="45" t="n"/>
      <c r="S534" s="39" t="n"/>
    </row>
    <row r="535" ht="15.75" customHeight="1">
      <c r="F535" s="39" t="n"/>
      <c r="I535" s="40" t="n"/>
      <c r="J535" s="41" t="n"/>
      <c r="K535" s="41" t="n"/>
      <c r="L535" s="42" t="n"/>
      <c r="M535" s="43" t="n"/>
      <c r="N535" s="43" t="n"/>
      <c r="O535" s="44" t="n"/>
      <c r="P535" s="45" t="n"/>
      <c r="Q535" s="45" t="n"/>
      <c r="S535" s="39" t="n"/>
    </row>
    <row r="536" ht="15.75" customHeight="1">
      <c r="F536" s="39" t="n"/>
      <c r="I536" s="40" t="n"/>
      <c r="J536" s="41" t="n"/>
      <c r="K536" s="41" t="n"/>
      <c r="L536" s="42" t="n"/>
      <c r="M536" s="43" t="n"/>
      <c r="N536" s="43" t="n"/>
      <c r="O536" s="44" t="n"/>
      <c r="P536" s="45" t="n"/>
      <c r="Q536" s="45" t="n"/>
      <c r="S536" s="39" t="n"/>
    </row>
    <row r="537" ht="15.75" customHeight="1">
      <c r="F537" s="39" t="n"/>
      <c r="I537" s="40" t="n"/>
      <c r="J537" s="41" t="n"/>
      <c r="K537" s="41" t="n"/>
      <c r="L537" s="42" t="n"/>
      <c r="M537" s="43" t="n"/>
      <c r="N537" s="43" t="n"/>
      <c r="O537" s="44" t="n"/>
      <c r="P537" s="45" t="n"/>
      <c r="Q537" s="45" t="n"/>
      <c r="S537" s="39" t="n"/>
    </row>
    <row r="538" ht="15.75" customHeight="1">
      <c r="F538" s="39" t="n"/>
      <c r="I538" s="40" t="n"/>
      <c r="J538" s="41" t="n"/>
      <c r="K538" s="41" t="n"/>
      <c r="L538" s="42" t="n"/>
      <c r="M538" s="43" t="n"/>
      <c r="N538" s="43" t="n"/>
      <c r="O538" s="44" t="n"/>
      <c r="P538" s="45" t="n"/>
      <c r="Q538" s="45" t="n"/>
      <c r="S538" s="39" t="n"/>
    </row>
    <row r="539" ht="15.75" customHeight="1">
      <c r="F539" s="39" t="n"/>
      <c r="I539" s="40" t="n"/>
      <c r="J539" s="41" t="n"/>
      <c r="K539" s="41" t="n"/>
      <c r="L539" s="42" t="n"/>
      <c r="M539" s="43" t="n"/>
      <c r="N539" s="43" t="n"/>
      <c r="O539" s="44" t="n"/>
      <c r="P539" s="45" t="n"/>
      <c r="Q539" s="45" t="n"/>
      <c r="S539" s="39" t="n"/>
    </row>
    <row r="540" ht="15.75" customHeight="1">
      <c r="F540" s="39" t="n"/>
      <c r="I540" s="40" t="n"/>
      <c r="J540" s="41" t="n"/>
      <c r="K540" s="41" t="n"/>
      <c r="L540" s="42" t="n"/>
      <c r="M540" s="43" t="n"/>
      <c r="N540" s="43" t="n"/>
      <c r="O540" s="44" t="n"/>
      <c r="P540" s="45" t="n"/>
      <c r="Q540" s="45" t="n"/>
      <c r="S540" s="39" t="n"/>
    </row>
    <row r="541" ht="15.75" customHeight="1">
      <c r="F541" s="39" t="n"/>
      <c r="I541" s="40" t="n"/>
      <c r="J541" s="41" t="n"/>
      <c r="K541" s="41" t="n"/>
      <c r="L541" s="42" t="n"/>
      <c r="M541" s="43" t="n"/>
      <c r="N541" s="43" t="n"/>
      <c r="O541" s="44" t="n"/>
      <c r="P541" s="45" t="n"/>
      <c r="Q541" s="45" t="n"/>
      <c r="S541" s="39" t="n"/>
    </row>
    <row r="542" ht="15.75" customHeight="1">
      <c r="F542" s="39" t="n"/>
      <c r="I542" s="40" t="n"/>
      <c r="J542" s="41" t="n"/>
      <c r="K542" s="41" t="n"/>
      <c r="L542" s="42" t="n"/>
      <c r="M542" s="43" t="n"/>
      <c r="N542" s="43" t="n"/>
      <c r="O542" s="44" t="n"/>
      <c r="P542" s="45" t="n"/>
      <c r="Q542" s="45" t="n"/>
      <c r="S542" s="39" t="n"/>
    </row>
    <row r="543" ht="15.75" customHeight="1">
      <c r="F543" s="39" t="n"/>
      <c r="I543" s="40" t="n"/>
      <c r="J543" s="41" t="n"/>
      <c r="K543" s="41" t="n"/>
      <c r="L543" s="42" t="n"/>
      <c r="M543" s="43" t="n"/>
      <c r="N543" s="43" t="n"/>
      <c r="O543" s="44" t="n"/>
      <c r="P543" s="45" t="n"/>
      <c r="Q543" s="45" t="n"/>
      <c r="S543" s="39" t="n"/>
    </row>
    <row r="544" ht="15.75" customHeight="1">
      <c r="F544" s="39" t="n"/>
      <c r="I544" s="40" t="n"/>
      <c r="J544" s="41" t="n"/>
      <c r="K544" s="41" t="n"/>
      <c r="L544" s="42" t="n"/>
      <c r="M544" s="43" t="n"/>
      <c r="N544" s="43" t="n"/>
      <c r="O544" s="44" t="n"/>
      <c r="P544" s="45" t="n"/>
      <c r="Q544" s="45" t="n"/>
      <c r="S544" s="39" t="n"/>
    </row>
    <row r="545" ht="15.75" customHeight="1">
      <c r="F545" s="39" t="n"/>
      <c r="I545" s="40" t="n"/>
      <c r="J545" s="41" t="n"/>
      <c r="K545" s="41" t="n"/>
      <c r="L545" s="42" t="n"/>
      <c r="M545" s="43" t="n"/>
      <c r="N545" s="43" t="n"/>
      <c r="O545" s="44" t="n"/>
      <c r="P545" s="45" t="n"/>
      <c r="Q545" s="45" t="n"/>
      <c r="S545" s="39" t="n"/>
    </row>
    <row r="546" ht="15.75" customHeight="1">
      <c r="F546" s="39" t="n"/>
      <c r="I546" s="40" t="n"/>
      <c r="J546" s="41" t="n"/>
      <c r="K546" s="41" t="n"/>
      <c r="L546" s="42" t="n"/>
      <c r="M546" s="43" t="n"/>
      <c r="N546" s="43" t="n"/>
      <c r="O546" s="44" t="n"/>
      <c r="P546" s="45" t="n"/>
      <c r="Q546" s="45" t="n"/>
      <c r="S546" s="39" t="n"/>
    </row>
    <row r="547" ht="15.75" customHeight="1">
      <c r="F547" s="39" t="n"/>
      <c r="I547" s="40" t="n"/>
      <c r="J547" s="41" t="n"/>
      <c r="K547" s="41" t="n"/>
      <c r="L547" s="42" t="n"/>
      <c r="M547" s="43" t="n"/>
      <c r="N547" s="43" t="n"/>
      <c r="O547" s="44" t="n"/>
      <c r="P547" s="45" t="n"/>
      <c r="Q547" s="45" t="n"/>
      <c r="S547" s="39" t="n"/>
    </row>
    <row r="548" ht="15.75" customHeight="1">
      <c r="F548" s="39" t="n"/>
      <c r="I548" s="40" t="n"/>
      <c r="J548" s="41" t="n"/>
      <c r="K548" s="41" t="n"/>
      <c r="L548" s="42" t="n"/>
      <c r="M548" s="43" t="n"/>
      <c r="N548" s="43" t="n"/>
      <c r="O548" s="44" t="n"/>
      <c r="P548" s="45" t="n"/>
      <c r="Q548" s="45" t="n"/>
      <c r="S548" s="39" t="n"/>
    </row>
    <row r="549" ht="15.75" customHeight="1">
      <c r="F549" s="39" t="n"/>
      <c r="I549" s="40" t="n"/>
      <c r="J549" s="41" t="n"/>
      <c r="K549" s="41" t="n"/>
      <c r="L549" s="42" t="n"/>
      <c r="M549" s="43" t="n"/>
      <c r="N549" s="43" t="n"/>
      <c r="O549" s="44" t="n"/>
      <c r="P549" s="45" t="n"/>
      <c r="Q549" s="45" t="n"/>
      <c r="S549" s="39" t="n"/>
    </row>
    <row r="550" ht="15.75" customHeight="1">
      <c r="F550" s="39" t="n"/>
      <c r="I550" s="40" t="n"/>
      <c r="J550" s="41" t="n"/>
      <c r="K550" s="41" t="n"/>
      <c r="L550" s="42" t="n"/>
      <c r="M550" s="43" t="n"/>
      <c r="N550" s="43" t="n"/>
      <c r="O550" s="44" t="n"/>
      <c r="P550" s="45" t="n"/>
      <c r="Q550" s="45" t="n"/>
      <c r="S550" s="39" t="n"/>
    </row>
    <row r="551" ht="15.75" customHeight="1">
      <c r="F551" s="39" t="n"/>
      <c r="I551" s="40" t="n"/>
      <c r="J551" s="41" t="n"/>
      <c r="K551" s="41" t="n"/>
      <c r="L551" s="42" t="n"/>
      <c r="M551" s="43" t="n"/>
      <c r="N551" s="43" t="n"/>
      <c r="O551" s="44" t="n"/>
      <c r="P551" s="45" t="n"/>
      <c r="Q551" s="45" t="n"/>
      <c r="S551" s="39" t="n"/>
    </row>
    <row r="552" ht="15.75" customHeight="1">
      <c r="F552" s="39" t="n"/>
      <c r="I552" s="40" t="n"/>
      <c r="J552" s="41" t="n"/>
      <c r="K552" s="41" t="n"/>
      <c r="L552" s="42" t="n"/>
      <c r="M552" s="43" t="n"/>
      <c r="N552" s="43" t="n"/>
      <c r="O552" s="44" t="n"/>
      <c r="P552" s="45" t="n"/>
      <c r="Q552" s="45" t="n"/>
      <c r="S552" s="39" t="n"/>
    </row>
    <row r="553" ht="15.75" customHeight="1">
      <c r="F553" s="39" t="n"/>
      <c r="I553" s="40" t="n"/>
      <c r="J553" s="41" t="n"/>
      <c r="K553" s="41" t="n"/>
      <c r="L553" s="42" t="n"/>
      <c r="M553" s="43" t="n"/>
      <c r="N553" s="43" t="n"/>
      <c r="O553" s="44" t="n"/>
      <c r="P553" s="45" t="n"/>
      <c r="Q553" s="45" t="n"/>
      <c r="S553" s="39" t="n"/>
    </row>
    <row r="554" ht="15.75" customHeight="1">
      <c r="F554" s="39" t="n"/>
      <c r="I554" s="40" t="n"/>
      <c r="J554" s="41" t="n"/>
      <c r="K554" s="41" t="n"/>
      <c r="L554" s="42" t="n"/>
      <c r="M554" s="43" t="n"/>
      <c r="N554" s="43" t="n"/>
      <c r="O554" s="44" t="n"/>
      <c r="P554" s="45" t="n"/>
      <c r="Q554" s="45" t="n"/>
      <c r="S554" s="39" t="n"/>
    </row>
    <row r="555" ht="15.75" customHeight="1">
      <c r="F555" s="39" t="n"/>
      <c r="I555" s="40" t="n"/>
      <c r="J555" s="41" t="n"/>
      <c r="K555" s="41" t="n"/>
      <c r="L555" s="42" t="n"/>
      <c r="M555" s="43" t="n"/>
      <c r="N555" s="43" t="n"/>
      <c r="O555" s="44" t="n"/>
      <c r="P555" s="45" t="n"/>
      <c r="Q555" s="45" t="n"/>
      <c r="S555" s="39" t="n"/>
    </row>
    <row r="556" ht="15.75" customHeight="1">
      <c r="F556" s="39" t="n"/>
      <c r="I556" s="40" t="n"/>
      <c r="J556" s="41" t="n"/>
      <c r="K556" s="41" t="n"/>
      <c r="L556" s="42" t="n"/>
      <c r="M556" s="43" t="n"/>
      <c r="N556" s="43" t="n"/>
      <c r="O556" s="44" t="n"/>
      <c r="P556" s="45" t="n"/>
      <c r="Q556" s="45" t="n"/>
      <c r="S556" s="39" t="n"/>
    </row>
    <row r="557" ht="15.75" customHeight="1">
      <c r="F557" s="39" t="n"/>
      <c r="I557" s="40" t="n"/>
      <c r="J557" s="41" t="n"/>
      <c r="K557" s="41" t="n"/>
      <c r="L557" s="42" t="n"/>
      <c r="M557" s="43" t="n"/>
      <c r="N557" s="43" t="n"/>
      <c r="O557" s="44" t="n"/>
      <c r="P557" s="45" t="n"/>
      <c r="Q557" s="45" t="n"/>
      <c r="S557" s="39" t="n"/>
    </row>
    <row r="558" ht="15.75" customHeight="1">
      <c r="F558" s="39" t="n"/>
      <c r="I558" s="40" t="n"/>
      <c r="J558" s="41" t="n"/>
      <c r="K558" s="41" t="n"/>
      <c r="L558" s="42" t="n"/>
      <c r="M558" s="43" t="n"/>
      <c r="N558" s="43" t="n"/>
      <c r="O558" s="44" t="n"/>
      <c r="P558" s="45" t="n"/>
      <c r="Q558" s="45" t="n"/>
      <c r="S558" s="39" t="n"/>
    </row>
    <row r="559" ht="15.75" customHeight="1">
      <c r="F559" s="39" t="n"/>
      <c r="I559" s="40" t="n"/>
      <c r="J559" s="41" t="n"/>
      <c r="K559" s="41" t="n"/>
      <c r="L559" s="42" t="n"/>
      <c r="M559" s="43" t="n"/>
      <c r="N559" s="43" t="n"/>
      <c r="O559" s="44" t="n"/>
      <c r="P559" s="45" t="n"/>
      <c r="Q559" s="45" t="n"/>
      <c r="S559" s="39" t="n"/>
    </row>
    <row r="560" ht="15.75" customHeight="1">
      <c r="F560" s="39" t="n"/>
      <c r="I560" s="40" t="n"/>
      <c r="J560" s="41" t="n"/>
      <c r="K560" s="41" t="n"/>
      <c r="L560" s="42" t="n"/>
      <c r="M560" s="43" t="n"/>
      <c r="N560" s="43" t="n"/>
      <c r="O560" s="44" t="n"/>
      <c r="P560" s="45" t="n"/>
      <c r="Q560" s="45" t="n"/>
      <c r="S560" s="39" t="n"/>
    </row>
    <row r="561" ht="15.75" customHeight="1">
      <c r="F561" s="39" t="n"/>
      <c r="I561" s="40" t="n"/>
      <c r="J561" s="41" t="n"/>
      <c r="K561" s="41" t="n"/>
      <c r="L561" s="42" t="n"/>
      <c r="M561" s="43" t="n"/>
      <c r="N561" s="43" t="n"/>
      <c r="O561" s="44" t="n"/>
      <c r="P561" s="45" t="n"/>
      <c r="Q561" s="45" t="n"/>
      <c r="S561" s="39" t="n"/>
    </row>
    <row r="562" ht="15.75" customHeight="1">
      <c r="F562" s="39" t="n"/>
      <c r="I562" s="40" t="n"/>
      <c r="J562" s="41" t="n"/>
      <c r="K562" s="41" t="n"/>
      <c r="L562" s="42" t="n"/>
      <c r="M562" s="43" t="n"/>
      <c r="N562" s="43" t="n"/>
      <c r="O562" s="44" t="n"/>
      <c r="P562" s="45" t="n"/>
      <c r="Q562" s="45" t="n"/>
      <c r="S562" s="39" t="n"/>
    </row>
    <row r="563" ht="15.75" customHeight="1">
      <c r="F563" s="39" t="n"/>
      <c r="I563" s="40" t="n"/>
      <c r="J563" s="41" t="n"/>
      <c r="K563" s="41" t="n"/>
      <c r="L563" s="42" t="n"/>
      <c r="M563" s="43" t="n"/>
      <c r="N563" s="43" t="n"/>
      <c r="O563" s="44" t="n"/>
      <c r="P563" s="45" t="n"/>
      <c r="Q563" s="45" t="n"/>
      <c r="S563" s="39" t="n"/>
    </row>
    <row r="564" ht="15.75" customHeight="1">
      <c r="F564" s="39" t="n"/>
      <c r="I564" s="40" t="n"/>
      <c r="J564" s="41" t="n"/>
      <c r="K564" s="41" t="n"/>
      <c r="L564" s="42" t="n"/>
      <c r="M564" s="43" t="n"/>
      <c r="N564" s="43" t="n"/>
      <c r="O564" s="44" t="n"/>
      <c r="P564" s="45" t="n"/>
      <c r="Q564" s="45" t="n"/>
      <c r="S564" s="39" t="n"/>
    </row>
    <row r="565" ht="15.75" customHeight="1">
      <c r="F565" s="39" t="n"/>
      <c r="I565" s="40" t="n"/>
      <c r="J565" s="41" t="n"/>
      <c r="K565" s="41" t="n"/>
      <c r="L565" s="42" t="n"/>
      <c r="M565" s="43" t="n"/>
      <c r="N565" s="43" t="n"/>
      <c r="O565" s="44" t="n"/>
      <c r="P565" s="45" t="n"/>
      <c r="Q565" s="45" t="n"/>
      <c r="S565" s="39" t="n"/>
    </row>
    <row r="566" ht="15.75" customHeight="1">
      <c r="F566" s="39" t="n"/>
      <c r="I566" s="40" t="n"/>
      <c r="J566" s="41" t="n"/>
      <c r="K566" s="41" t="n"/>
      <c r="L566" s="42" t="n"/>
      <c r="M566" s="43" t="n"/>
      <c r="N566" s="43" t="n"/>
      <c r="O566" s="44" t="n"/>
      <c r="P566" s="45" t="n"/>
      <c r="Q566" s="45" t="n"/>
      <c r="S566" s="39" t="n"/>
    </row>
    <row r="567" ht="15.75" customHeight="1">
      <c r="F567" s="39" t="n"/>
      <c r="I567" s="40" t="n"/>
      <c r="J567" s="41" t="n"/>
      <c r="K567" s="41" t="n"/>
      <c r="L567" s="42" t="n"/>
      <c r="M567" s="43" t="n"/>
      <c r="N567" s="43" t="n"/>
      <c r="O567" s="44" t="n"/>
      <c r="P567" s="45" t="n"/>
      <c r="Q567" s="45" t="n"/>
      <c r="S567" s="39" t="n"/>
    </row>
    <row r="568" ht="15.75" customHeight="1">
      <c r="F568" s="39" t="n"/>
      <c r="I568" s="40" t="n"/>
      <c r="J568" s="41" t="n"/>
      <c r="K568" s="41" t="n"/>
      <c r="L568" s="42" t="n"/>
      <c r="M568" s="43" t="n"/>
      <c r="N568" s="43" t="n"/>
      <c r="O568" s="44" t="n"/>
      <c r="P568" s="45" t="n"/>
      <c r="Q568" s="45" t="n"/>
      <c r="S568" s="39" t="n"/>
    </row>
    <row r="569" ht="15.75" customHeight="1">
      <c r="F569" s="39" t="n"/>
      <c r="I569" s="40" t="n"/>
      <c r="J569" s="41" t="n"/>
      <c r="K569" s="41" t="n"/>
      <c r="L569" s="42" t="n"/>
      <c r="M569" s="43" t="n"/>
      <c r="N569" s="43" t="n"/>
      <c r="O569" s="44" t="n"/>
      <c r="P569" s="45" t="n"/>
      <c r="Q569" s="45" t="n"/>
      <c r="S569" s="39" t="n"/>
    </row>
    <row r="570" ht="15.75" customHeight="1">
      <c r="F570" s="39" t="n"/>
      <c r="I570" s="40" t="n"/>
      <c r="J570" s="41" t="n"/>
      <c r="K570" s="41" t="n"/>
      <c r="L570" s="42" t="n"/>
      <c r="M570" s="43" t="n"/>
      <c r="N570" s="43" t="n"/>
      <c r="O570" s="44" t="n"/>
      <c r="P570" s="45" t="n"/>
      <c r="Q570" s="45" t="n"/>
      <c r="S570" s="39" t="n"/>
    </row>
    <row r="571" ht="15.75" customHeight="1">
      <c r="F571" s="39" t="n"/>
      <c r="I571" s="40" t="n"/>
      <c r="J571" s="41" t="n"/>
      <c r="K571" s="41" t="n"/>
      <c r="L571" s="42" t="n"/>
      <c r="M571" s="43" t="n"/>
      <c r="N571" s="43" t="n"/>
      <c r="O571" s="44" t="n"/>
      <c r="P571" s="45" t="n"/>
      <c r="Q571" s="45" t="n"/>
      <c r="S571" s="39" t="n"/>
    </row>
    <row r="572" ht="15.75" customHeight="1">
      <c r="F572" s="39" t="n"/>
      <c r="I572" s="40" t="n"/>
      <c r="J572" s="41" t="n"/>
      <c r="K572" s="41" t="n"/>
      <c r="L572" s="42" t="n"/>
      <c r="M572" s="43" t="n"/>
      <c r="N572" s="43" t="n"/>
      <c r="O572" s="44" t="n"/>
      <c r="P572" s="45" t="n"/>
      <c r="Q572" s="45" t="n"/>
      <c r="S572" s="39" t="n"/>
    </row>
    <row r="573" ht="15.75" customHeight="1">
      <c r="F573" s="39" t="n"/>
      <c r="I573" s="40" t="n"/>
      <c r="J573" s="41" t="n"/>
      <c r="K573" s="41" t="n"/>
      <c r="L573" s="42" t="n"/>
      <c r="M573" s="43" t="n"/>
      <c r="N573" s="43" t="n"/>
      <c r="O573" s="44" t="n"/>
      <c r="P573" s="45" t="n"/>
      <c r="Q573" s="45" t="n"/>
      <c r="S573" s="39" t="n"/>
    </row>
    <row r="574" ht="15.75" customHeight="1">
      <c r="F574" s="39" t="n"/>
      <c r="I574" s="40" t="n"/>
      <c r="J574" s="41" t="n"/>
      <c r="K574" s="41" t="n"/>
      <c r="L574" s="42" t="n"/>
      <c r="M574" s="43" t="n"/>
      <c r="N574" s="43" t="n"/>
      <c r="O574" s="44" t="n"/>
      <c r="P574" s="45" t="n"/>
      <c r="Q574" s="45" t="n"/>
      <c r="S574" s="39" t="n"/>
    </row>
    <row r="575" ht="15.75" customHeight="1">
      <c r="F575" s="39" t="n"/>
      <c r="I575" s="40" t="n"/>
      <c r="J575" s="41" t="n"/>
      <c r="K575" s="41" t="n"/>
      <c r="L575" s="42" t="n"/>
      <c r="M575" s="43" t="n"/>
      <c r="N575" s="43" t="n"/>
      <c r="O575" s="44" t="n"/>
      <c r="P575" s="45" t="n"/>
      <c r="Q575" s="45" t="n"/>
      <c r="S575" s="39" t="n"/>
    </row>
    <row r="576" ht="15.75" customHeight="1">
      <c r="F576" s="39" t="n"/>
      <c r="I576" s="40" t="n"/>
      <c r="J576" s="41" t="n"/>
      <c r="K576" s="41" t="n"/>
      <c r="L576" s="42" t="n"/>
      <c r="M576" s="43" t="n"/>
      <c r="N576" s="43" t="n"/>
      <c r="O576" s="44" t="n"/>
      <c r="P576" s="45" t="n"/>
      <c r="Q576" s="45" t="n"/>
      <c r="S576" s="39" t="n"/>
    </row>
    <row r="577" ht="15.75" customHeight="1">
      <c r="F577" s="39" t="n"/>
      <c r="I577" s="40" t="n"/>
      <c r="J577" s="41" t="n"/>
      <c r="K577" s="41" t="n"/>
      <c r="L577" s="42" t="n"/>
      <c r="M577" s="43" t="n"/>
      <c r="N577" s="43" t="n"/>
      <c r="O577" s="44" t="n"/>
      <c r="P577" s="45" t="n"/>
      <c r="Q577" s="45" t="n"/>
      <c r="S577" s="39" t="n"/>
    </row>
    <row r="578" ht="15.75" customHeight="1">
      <c r="F578" s="39" t="n"/>
      <c r="I578" s="40" t="n"/>
      <c r="J578" s="41" t="n"/>
      <c r="K578" s="41" t="n"/>
      <c r="L578" s="42" t="n"/>
      <c r="M578" s="43" t="n"/>
      <c r="N578" s="43" t="n"/>
      <c r="O578" s="44" t="n"/>
      <c r="P578" s="45" t="n"/>
      <c r="Q578" s="45" t="n"/>
      <c r="S578" s="39" t="n"/>
    </row>
    <row r="579" ht="15.75" customHeight="1">
      <c r="F579" s="39" t="n"/>
      <c r="I579" s="40" t="n"/>
      <c r="J579" s="41" t="n"/>
      <c r="K579" s="41" t="n"/>
      <c r="L579" s="42" t="n"/>
      <c r="M579" s="43" t="n"/>
      <c r="N579" s="43" t="n"/>
      <c r="O579" s="44" t="n"/>
      <c r="P579" s="45" t="n"/>
      <c r="Q579" s="45" t="n"/>
      <c r="S579" s="39" t="n"/>
    </row>
    <row r="580" ht="15.75" customHeight="1">
      <c r="F580" s="39" t="n"/>
      <c r="I580" s="40" t="n"/>
      <c r="J580" s="41" t="n"/>
      <c r="K580" s="41" t="n"/>
      <c r="L580" s="42" t="n"/>
      <c r="M580" s="43" t="n"/>
      <c r="N580" s="43" t="n"/>
      <c r="O580" s="44" t="n"/>
      <c r="P580" s="45" t="n"/>
      <c r="Q580" s="45" t="n"/>
      <c r="S580" s="39" t="n"/>
    </row>
    <row r="581" ht="15.75" customHeight="1">
      <c r="F581" s="39" t="n"/>
      <c r="I581" s="40" t="n"/>
      <c r="J581" s="41" t="n"/>
      <c r="K581" s="41" t="n"/>
      <c r="L581" s="42" t="n"/>
      <c r="M581" s="43" t="n"/>
      <c r="N581" s="43" t="n"/>
      <c r="O581" s="44" t="n"/>
      <c r="P581" s="45" t="n"/>
      <c r="Q581" s="45" t="n"/>
      <c r="S581" s="39" t="n"/>
    </row>
    <row r="582" ht="15.75" customHeight="1">
      <c r="F582" s="39" t="n"/>
      <c r="I582" s="40" t="n"/>
      <c r="J582" s="41" t="n"/>
      <c r="K582" s="41" t="n"/>
      <c r="L582" s="42" t="n"/>
      <c r="M582" s="43" t="n"/>
      <c r="N582" s="43" t="n"/>
      <c r="O582" s="44" t="n"/>
      <c r="P582" s="45" t="n"/>
      <c r="Q582" s="45" t="n"/>
      <c r="S582" s="39" t="n"/>
    </row>
    <row r="583" ht="15.75" customHeight="1">
      <c r="F583" s="39" t="n"/>
      <c r="I583" s="40" t="n"/>
      <c r="J583" s="41" t="n"/>
      <c r="K583" s="41" t="n"/>
      <c r="L583" s="42" t="n"/>
      <c r="M583" s="43" t="n"/>
      <c r="N583" s="43" t="n"/>
      <c r="O583" s="44" t="n"/>
      <c r="P583" s="45" t="n"/>
      <c r="Q583" s="45" t="n"/>
      <c r="S583" s="39" t="n"/>
    </row>
    <row r="584" ht="15.75" customHeight="1">
      <c r="F584" s="39" t="n"/>
      <c r="I584" s="40" t="n"/>
      <c r="J584" s="41" t="n"/>
      <c r="K584" s="41" t="n"/>
      <c r="L584" s="42" t="n"/>
      <c r="M584" s="43" t="n"/>
      <c r="N584" s="43" t="n"/>
      <c r="O584" s="44" t="n"/>
      <c r="P584" s="45" t="n"/>
      <c r="Q584" s="45" t="n"/>
      <c r="S584" s="39" t="n"/>
    </row>
    <row r="585" ht="15.75" customHeight="1">
      <c r="F585" s="39" t="n"/>
      <c r="I585" s="40" t="n"/>
      <c r="J585" s="41" t="n"/>
      <c r="K585" s="41" t="n"/>
      <c r="L585" s="42" t="n"/>
      <c r="M585" s="43" t="n"/>
      <c r="N585" s="43" t="n"/>
      <c r="O585" s="44" t="n"/>
      <c r="P585" s="45" t="n"/>
      <c r="Q585" s="45" t="n"/>
      <c r="S585" s="39" t="n"/>
    </row>
    <row r="586" ht="15.75" customHeight="1">
      <c r="F586" s="39" t="n"/>
      <c r="I586" s="40" t="n"/>
      <c r="J586" s="41" t="n"/>
      <c r="K586" s="41" t="n"/>
      <c r="L586" s="42" t="n"/>
      <c r="M586" s="43" t="n"/>
      <c r="N586" s="43" t="n"/>
      <c r="O586" s="44" t="n"/>
      <c r="P586" s="45" t="n"/>
      <c r="Q586" s="45" t="n"/>
      <c r="S586" s="39" t="n"/>
    </row>
    <row r="587" ht="15.75" customHeight="1">
      <c r="F587" s="39" t="n"/>
      <c r="I587" s="40" t="n"/>
      <c r="J587" s="41" t="n"/>
      <c r="K587" s="41" t="n"/>
      <c r="L587" s="42" t="n"/>
      <c r="M587" s="43" t="n"/>
      <c r="N587" s="43" t="n"/>
      <c r="O587" s="44" t="n"/>
      <c r="P587" s="45" t="n"/>
      <c r="Q587" s="45" t="n"/>
      <c r="S587" s="39" t="n"/>
    </row>
    <row r="588" ht="15.75" customHeight="1">
      <c r="F588" s="39" t="n"/>
      <c r="I588" s="40" t="n"/>
      <c r="J588" s="41" t="n"/>
      <c r="K588" s="41" t="n"/>
      <c r="L588" s="42" t="n"/>
      <c r="M588" s="43" t="n"/>
      <c r="N588" s="43" t="n"/>
      <c r="O588" s="44" t="n"/>
      <c r="P588" s="45" t="n"/>
      <c r="Q588" s="45" t="n"/>
      <c r="S588" s="39" t="n"/>
    </row>
    <row r="589" ht="15.75" customHeight="1">
      <c r="F589" s="39" t="n"/>
      <c r="I589" s="40" t="n"/>
      <c r="J589" s="41" t="n"/>
      <c r="K589" s="41" t="n"/>
      <c r="L589" s="42" t="n"/>
      <c r="M589" s="43" t="n"/>
      <c r="N589" s="43" t="n"/>
      <c r="O589" s="44" t="n"/>
      <c r="P589" s="45" t="n"/>
      <c r="Q589" s="45" t="n"/>
      <c r="S589" s="39" t="n"/>
    </row>
    <row r="590" ht="15.75" customHeight="1">
      <c r="F590" s="39" t="n"/>
      <c r="I590" s="40" t="n"/>
      <c r="J590" s="41" t="n"/>
      <c r="K590" s="41" t="n"/>
      <c r="L590" s="42" t="n"/>
      <c r="M590" s="43" t="n"/>
      <c r="N590" s="43" t="n"/>
      <c r="O590" s="44" t="n"/>
      <c r="P590" s="45" t="n"/>
      <c r="Q590" s="45" t="n"/>
      <c r="S590" s="39" t="n"/>
    </row>
    <row r="591" ht="15.75" customHeight="1">
      <c r="F591" s="39" t="n"/>
      <c r="I591" s="40" t="n"/>
      <c r="J591" s="41" t="n"/>
      <c r="K591" s="41" t="n"/>
      <c r="L591" s="42" t="n"/>
      <c r="M591" s="43" t="n"/>
      <c r="N591" s="43" t="n"/>
      <c r="O591" s="44" t="n"/>
      <c r="P591" s="45" t="n"/>
      <c r="Q591" s="45" t="n"/>
      <c r="S591" s="39" t="n"/>
    </row>
    <row r="592" ht="15.75" customHeight="1">
      <c r="F592" s="39" t="n"/>
      <c r="I592" s="40" t="n"/>
      <c r="J592" s="41" t="n"/>
      <c r="K592" s="41" t="n"/>
      <c r="L592" s="42" t="n"/>
      <c r="M592" s="43" t="n"/>
      <c r="N592" s="43" t="n"/>
      <c r="O592" s="44" t="n"/>
      <c r="P592" s="45" t="n"/>
      <c r="Q592" s="45" t="n"/>
      <c r="S592" s="39" t="n"/>
    </row>
    <row r="593" ht="15.75" customHeight="1">
      <c r="F593" s="39" t="n"/>
      <c r="I593" s="40" t="n"/>
      <c r="J593" s="41" t="n"/>
      <c r="K593" s="41" t="n"/>
      <c r="L593" s="42" t="n"/>
      <c r="M593" s="43" t="n"/>
      <c r="N593" s="43" t="n"/>
      <c r="O593" s="44" t="n"/>
      <c r="P593" s="45" t="n"/>
      <c r="Q593" s="45" t="n"/>
      <c r="S593" s="39" t="n"/>
    </row>
    <row r="594" ht="15.75" customHeight="1">
      <c r="F594" s="39" t="n"/>
      <c r="I594" s="40" t="n"/>
      <c r="J594" s="41" t="n"/>
      <c r="K594" s="41" t="n"/>
      <c r="L594" s="42" t="n"/>
      <c r="M594" s="43" t="n"/>
      <c r="N594" s="43" t="n"/>
      <c r="O594" s="44" t="n"/>
      <c r="P594" s="45" t="n"/>
      <c r="Q594" s="45" t="n"/>
      <c r="S594" s="39" t="n"/>
    </row>
    <row r="595" ht="15.75" customHeight="1">
      <c r="F595" s="39" t="n"/>
      <c r="I595" s="40" t="n"/>
      <c r="J595" s="41" t="n"/>
      <c r="K595" s="41" t="n"/>
      <c r="L595" s="42" t="n"/>
      <c r="M595" s="43" t="n"/>
      <c r="N595" s="43" t="n"/>
      <c r="O595" s="44" t="n"/>
      <c r="P595" s="45" t="n"/>
      <c r="Q595" s="45" t="n"/>
      <c r="S595" s="39" t="n"/>
    </row>
    <row r="596" ht="15.75" customHeight="1">
      <c r="F596" s="39" t="n"/>
      <c r="I596" s="40" t="n"/>
      <c r="J596" s="41" t="n"/>
      <c r="K596" s="41" t="n"/>
      <c r="L596" s="42" t="n"/>
      <c r="M596" s="43" t="n"/>
      <c r="N596" s="43" t="n"/>
      <c r="O596" s="44" t="n"/>
      <c r="P596" s="45" t="n"/>
      <c r="Q596" s="45" t="n"/>
      <c r="S596" s="39" t="n"/>
    </row>
    <row r="597" ht="15.75" customHeight="1">
      <c r="F597" s="39" t="n"/>
      <c r="I597" s="40" t="n"/>
      <c r="J597" s="41" t="n"/>
      <c r="K597" s="41" t="n"/>
      <c r="L597" s="42" t="n"/>
      <c r="M597" s="43" t="n"/>
      <c r="N597" s="43" t="n"/>
      <c r="O597" s="44" t="n"/>
      <c r="P597" s="45" t="n"/>
      <c r="Q597" s="45" t="n"/>
      <c r="S597" s="39" t="n"/>
    </row>
    <row r="598" ht="15.75" customHeight="1">
      <c r="F598" s="39" t="n"/>
      <c r="I598" s="40" t="n"/>
      <c r="J598" s="41" t="n"/>
      <c r="K598" s="41" t="n"/>
      <c r="L598" s="42" t="n"/>
      <c r="M598" s="43" t="n"/>
      <c r="N598" s="43" t="n"/>
      <c r="O598" s="44" t="n"/>
      <c r="P598" s="45" t="n"/>
      <c r="Q598" s="45" t="n"/>
      <c r="S598" s="39" t="n"/>
    </row>
    <row r="599" ht="15.75" customHeight="1">
      <c r="F599" s="39" t="n"/>
      <c r="I599" s="40" t="n"/>
      <c r="J599" s="41" t="n"/>
      <c r="K599" s="41" t="n"/>
      <c r="L599" s="42" t="n"/>
      <c r="M599" s="43" t="n"/>
      <c r="N599" s="43" t="n"/>
      <c r="O599" s="44" t="n"/>
      <c r="P599" s="45" t="n"/>
      <c r="Q599" s="45" t="n"/>
      <c r="S599" s="39" t="n"/>
    </row>
    <row r="600" ht="15.75" customHeight="1">
      <c r="F600" s="39" t="n"/>
      <c r="I600" s="40" t="n"/>
      <c r="J600" s="41" t="n"/>
      <c r="K600" s="41" t="n"/>
      <c r="L600" s="42" t="n"/>
      <c r="M600" s="43" t="n"/>
      <c r="N600" s="43" t="n"/>
      <c r="O600" s="44" t="n"/>
      <c r="P600" s="45" t="n"/>
      <c r="Q600" s="45" t="n"/>
      <c r="S600" s="39" t="n"/>
    </row>
    <row r="601" ht="15.75" customHeight="1">
      <c r="F601" s="39" t="n"/>
      <c r="I601" s="40" t="n"/>
      <c r="J601" s="41" t="n"/>
      <c r="K601" s="41" t="n"/>
      <c r="L601" s="42" t="n"/>
      <c r="M601" s="43" t="n"/>
      <c r="N601" s="43" t="n"/>
      <c r="O601" s="44" t="n"/>
      <c r="P601" s="45" t="n"/>
      <c r="Q601" s="45" t="n"/>
      <c r="S601" s="39" t="n"/>
    </row>
    <row r="602" ht="15.75" customHeight="1">
      <c r="F602" s="39" t="n"/>
      <c r="I602" s="40" t="n"/>
      <c r="J602" s="41" t="n"/>
      <c r="K602" s="41" t="n"/>
      <c r="L602" s="42" t="n"/>
      <c r="M602" s="43" t="n"/>
      <c r="N602" s="43" t="n"/>
      <c r="O602" s="44" t="n"/>
      <c r="P602" s="45" t="n"/>
      <c r="Q602" s="45" t="n"/>
      <c r="S602" s="39" t="n"/>
    </row>
    <row r="603" ht="15.75" customHeight="1">
      <c r="F603" s="39" t="n"/>
      <c r="I603" s="40" t="n"/>
      <c r="J603" s="41" t="n"/>
      <c r="K603" s="41" t="n"/>
      <c r="L603" s="42" t="n"/>
      <c r="M603" s="43" t="n"/>
      <c r="N603" s="43" t="n"/>
      <c r="O603" s="44" t="n"/>
      <c r="P603" s="45" t="n"/>
      <c r="Q603" s="45" t="n"/>
      <c r="S603" s="39" t="n"/>
    </row>
    <row r="604" ht="15.75" customHeight="1">
      <c r="F604" s="39" t="n"/>
      <c r="I604" s="40" t="n"/>
      <c r="J604" s="41" t="n"/>
      <c r="K604" s="41" t="n"/>
      <c r="L604" s="42" t="n"/>
      <c r="M604" s="43" t="n"/>
      <c r="N604" s="43" t="n"/>
      <c r="O604" s="44" t="n"/>
      <c r="P604" s="45" t="n"/>
      <c r="Q604" s="45" t="n"/>
      <c r="S604" s="39" t="n"/>
    </row>
    <row r="605" ht="15.75" customHeight="1">
      <c r="F605" s="39" t="n"/>
      <c r="I605" s="40" t="n"/>
      <c r="J605" s="41" t="n"/>
      <c r="K605" s="41" t="n"/>
      <c r="L605" s="42" t="n"/>
      <c r="M605" s="43" t="n"/>
      <c r="N605" s="43" t="n"/>
      <c r="O605" s="44" t="n"/>
      <c r="P605" s="45" t="n"/>
      <c r="Q605" s="45" t="n"/>
      <c r="S605" s="39" t="n"/>
    </row>
    <row r="606" ht="15.75" customHeight="1">
      <c r="F606" s="39" t="n"/>
      <c r="I606" s="40" t="n"/>
      <c r="J606" s="41" t="n"/>
      <c r="K606" s="41" t="n"/>
      <c r="L606" s="42" t="n"/>
      <c r="M606" s="43" t="n"/>
      <c r="N606" s="43" t="n"/>
      <c r="O606" s="44" t="n"/>
      <c r="P606" s="45" t="n"/>
      <c r="Q606" s="45" t="n"/>
      <c r="S606" s="39" t="n"/>
    </row>
    <row r="607" ht="15.75" customHeight="1">
      <c r="F607" s="39" t="n"/>
      <c r="I607" s="40" t="n"/>
      <c r="J607" s="41" t="n"/>
      <c r="K607" s="41" t="n"/>
      <c r="L607" s="42" t="n"/>
      <c r="M607" s="43" t="n"/>
      <c r="N607" s="43" t="n"/>
      <c r="O607" s="44" t="n"/>
      <c r="P607" s="45" t="n"/>
      <c r="Q607" s="45" t="n"/>
      <c r="S607" s="39" t="n"/>
    </row>
    <row r="608" ht="15.75" customHeight="1">
      <c r="F608" s="39" t="n"/>
      <c r="I608" s="40" t="n"/>
      <c r="J608" s="41" t="n"/>
      <c r="K608" s="41" t="n"/>
      <c r="L608" s="42" t="n"/>
      <c r="M608" s="43" t="n"/>
      <c r="N608" s="43" t="n"/>
      <c r="O608" s="44" t="n"/>
      <c r="P608" s="45" t="n"/>
      <c r="Q608" s="45" t="n"/>
      <c r="S608" s="39" t="n"/>
    </row>
    <row r="609" ht="15.75" customHeight="1">
      <c r="F609" s="39" t="n"/>
      <c r="I609" s="40" t="n"/>
      <c r="J609" s="41" t="n"/>
      <c r="K609" s="41" t="n"/>
      <c r="L609" s="42" t="n"/>
      <c r="M609" s="43" t="n"/>
      <c r="N609" s="43" t="n"/>
      <c r="O609" s="44" t="n"/>
      <c r="P609" s="45" t="n"/>
      <c r="Q609" s="45" t="n"/>
      <c r="S609" s="39" t="n"/>
    </row>
    <row r="610" ht="15.75" customHeight="1">
      <c r="F610" s="39" t="n"/>
      <c r="I610" s="40" t="n"/>
      <c r="J610" s="41" t="n"/>
      <c r="K610" s="41" t="n"/>
      <c r="L610" s="42" t="n"/>
      <c r="M610" s="43" t="n"/>
      <c r="N610" s="43" t="n"/>
      <c r="O610" s="44" t="n"/>
      <c r="P610" s="45" t="n"/>
      <c r="Q610" s="45" t="n"/>
      <c r="S610" s="39" t="n"/>
    </row>
    <row r="611" ht="15.75" customHeight="1">
      <c r="F611" s="39" t="n"/>
      <c r="I611" s="40" t="n"/>
      <c r="J611" s="41" t="n"/>
      <c r="K611" s="41" t="n"/>
      <c r="L611" s="42" t="n"/>
      <c r="M611" s="43" t="n"/>
      <c r="N611" s="43" t="n"/>
      <c r="O611" s="44" t="n"/>
      <c r="P611" s="45" t="n"/>
      <c r="Q611" s="45" t="n"/>
      <c r="S611" s="39" t="n"/>
    </row>
    <row r="612" ht="15.75" customHeight="1">
      <c r="F612" s="39" t="n"/>
      <c r="I612" s="40" t="n"/>
      <c r="J612" s="41" t="n"/>
      <c r="K612" s="41" t="n"/>
      <c r="L612" s="42" t="n"/>
      <c r="M612" s="43" t="n"/>
      <c r="N612" s="43" t="n"/>
      <c r="O612" s="44" t="n"/>
      <c r="P612" s="45" t="n"/>
      <c r="Q612" s="45" t="n"/>
      <c r="S612" s="39" t="n"/>
    </row>
    <row r="613" ht="15.75" customHeight="1">
      <c r="F613" s="39" t="n"/>
      <c r="I613" s="40" t="n"/>
      <c r="J613" s="41" t="n"/>
      <c r="K613" s="41" t="n"/>
      <c r="L613" s="42" t="n"/>
      <c r="M613" s="43" t="n"/>
      <c r="N613" s="43" t="n"/>
      <c r="O613" s="44" t="n"/>
      <c r="P613" s="45" t="n"/>
      <c r="Q613" s="45" t="n"/>
      <c r="S613" s="39" t="n"/>
    </row>
    <row r="614" ht="15.75" customHeight="1">
      <c r="F614" s="39" t="n"/>
      <c r="I614" s="40" t="n"/>
      <c r="J614" s="41" t="n"/>
      <c r="K614" s="41" t="n"/>
      <c r="L614" s="42" t="n"/>
      <c r="M614" s="43" t="n"/>
      <c r="N614" s="43" t="n"/>
      <c r="O614" s="44" t="n"/>
      <c r="P614" s="45" t="n"/>
      <c r="Q614" s="45" t="n"/>
      <c r="S614" s="39" t="n"/>
    </row>
    <row r="615" ht="15.75" customHeight="1">
      <c r="F615" s="39" t="n"/>
      <c r="I615" s="40" t="n"/>
      <c r="J615" s="41" t="n"/>
      <c r="K615" s="41" t="n"/>
      <c r="L615" s="42" t="n"/>
      <c r="M615" s="43" t="n"/>
      <c r="N615" s="43" t="n"/>
      <c r="O615" s="44" t="n"/>
      <c r="P615" s="45" t="n"/>
      <c r="Q615" s="45" t="n"/>
      <c r="S615" s="39" t="n"/>
    </row>
    <row r="616" ht="15.75" customHeight="1">
      <c r="F616" s="39" t="n"/>
      <c r="I616" s="40" t="n"/>
      <c r="J616" s="41" t="n"/>
      <c r="K616" s="41" t="n"/>
      <c r="L616" s="42" t="n"/>
      <c r="M616" s="43" t="n"/>
      <c r="N616" s="43" t="n"/>
      <c r="O616" s="44" t="n"/>
      <c r="P616" s="45" t="n"/>
      <c r="Q616" s="45" t="n"/>
      <c r="S616" s="39" t="n"/>
    </row>
    <row r="617" ht="15.75" customHeight="1">
      <c r="F617" s="39" t="n"/>
      <c r="I617" s="40" t="n"/>
      <c r="J617" s="41" t="n"/>
      <c r="K617" s="41" t="n"/>
      <c r="L617" s="42" t="n"/>
      <c r="M617" s="43" t="n"/>
      <c r="N617" s="43" t="n"/>
      <c r="O617" s="44" t="n"/>
      <c r="P617" s="45" t="n"/>
      <c r="Q617" s="45" t="n"/>
      <c r="S617" s="39" t="n"/>
    </row>
    <row r="618" ht="15.75" customHeight="1">
      <c r="F618" s="39" t="n"/>
      <c r="I618" s="40" t="n"/>
      <c r="J618" s="41" t="n"/>
      <c r="K618" s="41" t="n"/>
      <c r="L618" s="42" t="n"/>
      <c r="M618" s="43" t="n"/>
      <c r="N618" s="43" t="n"/>
      <c r="O618" s="44" t="n"/>
      <c r="P618" s="45" t="n"/>
      <c r="Q618" s="45" t="n"/>
      <c r="S618" s="39" t="n"/>
    </row>
    <row r="619" ht="15.75" customHeight="1">
      <c r="F619" s="39" t="n"/>
      <c r="I619" s="40" t="n"/>
      <c r="J619" s="41" t="n"/>
      <c r="K619" s="41" t="n"/>
      <c r="L619" s="42" t="n"/>
      <c r="M619" s="43" t="n"/>
      <c r="N619" s="43" t="n"/>
      <c r="O619" s="44" t="n"/>
      <c r="P619" s="45" t="n"/>
      <c r="Q619" s="45" t="n"/>
      <c r="S619" s="39" t="n"/>
    </row>
    <row r="620" ht="15.75" customHeight="1">
      <c r="F620" s="39" t="n"/>
      <c r="I620" s="40" t="n"/>
      <c r="J620" s="41" t="n"/>
      <c r="K620" s="41" t="n"/>
      <c r="L620" s="42" t="n"/>
      <c r="M620" s="43" t="n"/>
      <c r="N620" s="43" t="n"/>
      <c r="O620" s="44" t="n"/>
      <c r="P620" s="45" t="n"/>
      <c r="Q620" s="45" t="n"/>
      <c r="S620" s="39" t="n"/>
    </row>
    <row r="621" ht="15.75" customHeight="1">
      <c r="F621" s="39" t="n"/>
      <c r="I621" s="40" t="n"/>
      <c r="J621" s="41" t="n"/>
      <c r="K621" s="41" t="n"/>
      <c r="L621" s="42" t="n"/>
      <c r="M621" s="43" t="n"/>
      <c r="N621" s="43" t="n"/>
      <c r="O621" s="44" t="n"/>
      <c r="P621" s="45" t="n"/>
      <c r="Q621" s="45" t="n"/>
      <c r="S621" s="39" t="n"/>
    </row>
    <row r="622" ht="15.75" customHeight="1">
      <c r="F622" s="39" t="n"/>
      <c r="I622" s="40" t="n"/>
      <c r="J622" s="41" t="n"/>
      <c r="K622" s="41" t="n"/>
      <c r="L622" s="42" t="n"/>
      <c r="M622" s="43" t="n"/>
      <c r="N622" s="43" t="n"/>
      <c r="O622" s="44" t="n"/>
      <c r="P622" s="45" t="n"/>
      <c r="Q622" s="45" t="n"/>
      <c r="S622" s="39" t="n"/>
    </row>
    <row r="623" ht="15.75" customHeight="1">
      <c r="F623" s="39" t="n"/>
      <c r="I623" s="40" t="n"/>
      <c r="J623" s="41" t="n"/>
      <c r="K623" s="41" t="n"/>
      <c r="L623" s="42" t="n"/>
      <c r="M623" s="43" t="n"/>
      <c r="N623" s="43" t="n"/>
      <c r="O623" s="44" t="n"/>
      <c r="P623" s="45" t="n"/>
      <c r="Q623" s="45" t="n"/>
      <c r="S623" s="39" t="n"/>
    </row>
    <row r="624" ht="15.75" customHeight="1">
      <c r="F624" s="39" t="n"/>
      <c r="I624" s="40" t="n"/>
      <c r="J624" s="41" t="n"/>
      <c r="K624" s="41" t="n"/>
      <c r="L624" s="42" t="n"/>
      <c r="M624" s="43" t="n"/>
      <c r="N624" s="43" t="n"/>
      <c r="O624" s="44" t="n"/>
      <c r="P624" s="45" t="n"/>
      <c r="Q624" s="45" t="n"/>
      <c r="S624" s="39" t="n"/>
    </row>
    <row r="625" ht="15.75" customHeight="1">
      <c r="F625" s="39" t="n"/>
      <c r="I625" s="40" t="n"/>
      <c r="J625" s="41" t="n"/>
      <c r="K625" s="41" t="n"/>
      <c r="L625" s="42" t="n"/>
      <c r="M625" s="43" t="n"/>
      <c r="N625" s="43" t="n"/>
      <c r="O625" s="44" t="n"/>
      <c r="P625" s="45" t="n"/>
      <c r="Q625" s="45" t="n"/>
      <c r="S625" s="39" t="n"/>
    </row>
    <row r="626" ht="15.75" customHeight="1">
      <c r="F626" s="39" t="n"/>
      <c r="I626" s="40" t="n"/>
      <c r="J626" s="41" t="n"/>
      <c r="K626" s="41" t="n"/>
      <c r="L626" s="42" t="n"/>
      <c r="M626" s="43" t="n"/>
      <c r="N626" s="43" t="n"/>
      <c r="O626" s="44" t="n"/>
      <c r="P626" s="45" t="n"/>
      <c r="Q626" s="45" t="n"/>
      <c r="S626" s="39" t="n"/>
    </row>
    <row r="627" ht="15.75" customHeight="1">
      <c r="F627" s="39" t="n"/>
      <c r="I627" s="40" t="n"/>
      <c r="J627" s="41" t="n"/>
      <c r="K627" s="41" t="n"/>
      <c r="L627" s="42" t="n"/>
      <c r="M627" s="43" t="n"/>
      <c r="N627" s="43" t="n"/>
      <c r="O627" s="44" t="n"/>
      <c r="P627" s="45" t="n"/>
      <c r="Q627" s="45" t="n"/>
      <c r="S627" s="39" t="n"/>
    </row>
    <row r="628" ht="15.75" customHeight="1">
      <c r="F628" s="39" t="n"/>
      <c r="I628" s="40" t="n"/>
      <c r="J628" s="41" t="n"/>
      <c r="K628" s="41" t="n"/>
      <c r="L628" s="42" t="n"/>
      <c r="M628" s="43" t="n"/>
      <c r="N628" s="43" t="n"/>
      <c r="O628" s="44" t="n"/>
      <c r="P628" s="45" t="n"/>
      <c r="Q628" s="45" t="n"/>
      <c r="S628" s="39" t="n"/>
    </row>
    <row r="629" ht="15.75" customHeight="1">
      <c r="F629" s="39" t="n"/>
      <c r="I629" s="40" t="n"/>
      <c r="J629" s="41" t="n"/>
      <c r="K629" s="41" t="n"/>
      <c r="L629" s="42" t="n"/>
      <c r="M629" s="43" t="n"/>
      <c r="N629" s="43" t="n"/>
      <c r="O629" s="44" t="n"/>
      <c r="P629" s="45" t="n"/>
      <c r="Q629" s="45" t="n"/>
      <c r="S629" s="39" t="n"/>
    </row>
    <row r="630" ht="15.75" customHeight="1">
      <c r="F630" s="39" t="n"/>
      <c r="I630" s="40" t="n"/>
      <c r="J630" s="41" t="n"/>
      <c r="K630" s="41" t="n"/>
      <c r="L630" s="42" t="n"/>
      <c r="M630" s="43" t="n"/>
      <c r="N630" s="43" t="n"/>
      <c r="O630" s="44" t="n"/>
      <c r="P630" s="45" t="n"/>
      <c r="Q630" s="45" t="n"/>
      <c r="S630" s="39" t="n"/>
    </row>
    <row r="631" ht="15.75" customHeight="1">
      <c r="F631" s="39" t="n"/>
      <c r="I631" s="40" t="n"/>
      <c r="J631" s="41" t="n"/>
      <c r="K631" s="41" t="n"/>
      <c r="L631" s="42" t="n"/>
      <c r="M631" s="43" t="n"/>
      <c r="N631" s="43" t="n"/>
      <c r="O631" s="44" t="n"/>
      <c r="P631" s="45" t="n"/>
      <c r="Q631" s="45" t="n"/>
      <c r="S631" s="39" t="n"/>
    </row>
    <row r="632" ht="15.75" customHeight="1">
      <c r="F632" s="39" t="n"/>
      <c r="I632" s="40" t="n"/>
      <c r="J632" s="41" t="n"/>
      <c r="K632" s="41" t="n"/>
      <c r="L632" s="42" t="n"/>
      <c r="M632" s="43" t="n"/>
      <c r="N632" s="43" t="n"/>
      <c r="O632" s="44" t="n"/>
      <c r="P632" s="45" t="n"/>
      <c r="Q632" s="45" t="n"/>
      <c r="S632" s="39" t="n"/>
    </row>
    <row r="633" ht="15.75" customHeight="1">
      <c r="F633" s="39" t="n"/>
      <c r="I633" s="40" t="n"/>
      <c r="J633" s="41" t="n"/>
      <c r="K633" s="41" t="n"/>
      <c r="L633" s="42" t="n"/>
      <c r="M633" s="43" t="n"/>
      <c r="N633" s="43" t="n"/>
      <c r="O633" s="44" t="n"/>
      <c r="P633" s="45" t="n"/>
      <c r="Q633" s="45" t="n"/>
      <c r="S633" s="39" t="n"/>
    </row>
    <row r="634" ht="15.75" customHeight="1">
      <c r="F634" s="39" t="n"/>
      <c r="I634" s="40" t="n"/>
      <c r="J634" s="41" t="n"/>
      <c r="K634" s="41" t="n"/>
      <c r="L634" s="42" t="n"/>
      <c r="M634" s="43" t="n"/>
      <c r="N634" s="43" t="n"/>
      <c r="O634" s="44" t="n"/>
      <c r="P634" s="45" t="n"/>
      <c r="Q634" s="45" t="n"/>
      <c r="S634" s="39" t="n"/>
    </row>
    <row r="635" ht="15.75" customHeight="1">
      <c r="F635" s="39" t="n"/>
      <c r="I635" s="40" t="n"/>
      <c r="J635" s="41" t="n"/>
      <c r="K635" s="41" t="n"/>
      <c r="L635" s="42" t="n"/>
      <c r="M635" s="43" t="n"/>
      <c r="N635" s="43" t="n"/>
      <c r="O635" s="44" t="n"/>
      <c r="P635" s="45" t="n"/>
      <c r="Q635" s="45" t="n"/>
      <c r="S635" s="39" t="n"/>
    </row>
    <row r="636" ht="15.75" customHeight="1">
      <c r="F636" s="39" t="n"/>
      <c r="I636" s="40" t="n"/>
      <c r="J636" s="41" t="n"/>
      <c r="K636" s="41" t="n"/>
      <c r="L636" s="42" t="n"/>
      <c r="M636" s="43" t="n"/>
      <c r="N636" s="43" t="n"/>
      <c r="O636" s="44" t="n"/>
      <c r="P636" s="45" t="n"/>
      <c r="Q636" s="45" t="n"/>
      <c r="S636" s="39" t="n"/>
    </row>
    <row r="637" ht="15.75" customHeight="1">
      <c r="F637" s="39" t="n"/>
      <c r="I637" s="40" t="n"/>
      <c r="J637" s="41" t="n"/>
      <c r="K637" s="41" t="n"/>
      <c r="L637" s="42" t="n"/>
      <c r="M637" s="43" t="n"/>
      <c r="N637" s="43" t="n"/>
      <c r="O637" s="44" t="n"/>
      <c r="P637" s="45" t="n"/>
      <c r="Q637" s="45" t="n"/>
      <c r="S637" s="39" t="n"/>
    </row>
    <row r="638" ht="15.75" customHeight="1">
      <c r="F638" s="39" t="n"/>
      <c r="I638" s="40" t="n"/>
      <c r="J638" s="41" t="n"/>
      <c r="K638" s="41" t="n"/>
      <c r="L638" s="42" t="n"/>
      <c r="M638" s="43" t="n"/>
      <c r="N638" s="43" t="n"/>
      <c r="O638" s="44" t="n"/>
      <c r="P638" s="45" t="n"/>
      <c r="Q638" s="45" t="n"/>
      <c r="S638" s="39" t="n"/>
    </row>
    <row r="639" ht="15.75" customHeight="1">
      <c r="F639" s="39" t="n"/>
      <c r="I639" s="40" t="n"/>
      <c r="J639" s="41" t="n"/>
      <c r="K639" s="41" t="n"/>
      <c r="L639" s="42" t="n"/>
      <c r="M639" s="43" t="n"/>
      <c r="N639" s="43" t="n"/>
      <c r="O639" s="44" t="n"/>
      <c r="P639" s="45" t="n"/>
      <c r="Q639" s="45" t="n"/>
      <c r="S639" s="39" t="n"/>
    </row>
    <row r="640" ht="15.75" customHeight="1">
      <c r="F640" s="39" t="n"/>
      <c r="I640" s="40" t="n"/>
      <c r="J640" s="41" t="n"/>
      <c r="K640" s="41" t="n"/>
      <c r="L640" s="42" t="n"/>
      <c r="M640" s="43" t="n"/>
      <c r="N640" s="43" t="n"/>
      <c r="O640" s="44" t="n"/>
      <c r="P640" s="45" t="n"/>
      <c r="Q640" s="45" t="n"/>
      <c r="S640" s="39" t="n"/>
    </row>
    <row r="641" ht="15.75" customHeight="1">
      <c r="F641" s="39" t="n"/>
      <c r="I641" s="40" t="n"/>
      <c r="J641" s="41" t="n"/>
      <c r="K641" s="41" t="n"/>
      <c r="L641" s="42" t="n"/>
      <c r="M641" s="43" t="n"/>
      <c r="N641" s="43" t="n"/>
      <c r="O641" s="44" t="n"/>
      <c r="P641" s="45" t="n"/>
      <c r="Q641" s="45" t="n"/>
      <c r="S641" s="39" t="n"/>
    </row>
    <row r="642" ht="15.75" customHeight="1">
      <c r="F642" s="39" t="n"/>
      <c r="I642" s="40" t="n"/>
      <c r="J642" s="41" t="n"/>
      <c r="K642" s="41" t="n"/>
      <c r="L642" s="42" t="n"/>
      <c r="M642" s="43" t="n"/>
      <c r="N642" s="43" t="n"/>
      <c r="O642" s="44" t="n"/>
      <c r="P642" s="45" t="n"/>
      <c r="Q642" s="45" t="n"/>
      <c r="S642" s="39" t="n"/>
    </row>
    <row r="643" ht="15.75" customHeight="1">
      <c r="F643" s="39" t="n"/>
      <c r="I643" s="40" t="n"/>
      <c r="J643" s="41" t="n"/>
      <c r="K643" s="41" t="n"/>
      <c r="L643" s="42" t="n"/>
      <c r="M643" s="43" t="n"/>
      <c r="N643" s="43" t="n"/>
      <c r="O643" s="44" t="n"/>
      <c r="P643" s="45" t="n"/>
      <c r="Q643" s="45" t="n"/>
      <c r="S643" s="39" t="n"/>
    </row>
    <row r="644" ht="15.75" customHeight="1">
      <c r="F644" s="39" t="n"/>
      <c r="I644" s="40" t="n"/>
      <c r="J644" s="41" t="n"/>
      <c r="K644" s="41" t="n"/>
      <c r="L644" s="42" t="n"/>
      <c r="M644" s="43" t="n"/>
      <c r="N644" s="43" t="n"/>
      <c r="O644" s="44" t="n"/>
      <c r="P644" s="45" t="n"/>
      <c r="Q644" s="45" t="n"/>
      <c r="S644" s="39" t="n"/>
    </row>
    <row r="645" ht="15.75" customHeight="1">
      <c r="F645" s="39" t="n"/>
      <c r="I645" s="40" t="n"/>
      <c r="J645" s="41" t="n"/>
      <c r="K645" s="41" t="n"/>
      <c r="L645" s="42" t="n"/>
      <c r="M645" s="43" t="n"/>
      <c r="N645" s="43" t="n"/>
      <c r="O645" s="44" t="n"/>
      <c r="P645" s="45" t="n"/>
      <c r="Q645" s="45" t="n"/>
      <c r="S645" s="39" t="n"/>
    </row>
    <row r="646" ht="15.75" customHeight="1">
      <c r="F646" s="39" t="n"/>
      <c r="I646" s="40" t="n"/>
      <c r="J646" s="41" t="n"/>
      <c r="K646" s="41" t="n"/>
      <c r="L646" s="42" t="n"/>
      <c r="M646" s="43" t="n"/>
      <c r="N646" s="43" t="n"/>
      <c r="O646" s="44" t="n"/>
      <c r="P646" s="45" t="n"/>
      <c r="Q646" s="45" t="n"/>
      <c r="S646" s="39" t="n"/>
    </row>
    <row r="647" ht="15.75" customHeight="1">
      <c r="F647" s="39" t="n"/>
      <c r="I647" s="40" t="n"/>
      <c r="J647" s="41" t="n"/>
      <c r="K647" s="41" t="n"/>
      <c r="L647" s="42" t="n"/>
      <c r="M647" s="43" t="n"/>
      <c r="N647" s="43" t="n"/>
      <c r="O647" s="44" t="n"/>
      <c r="P647" s="45" t="n"/>
      <c r="Q647" s="45" t="n"/>
      <c r="S647" s="39" t="n"/>
    </row>
    <row r="648" ht="15.75" customHeight="1">
      <c r="F648" s="39" t="n"/>
      <c r="I648" s="40" t="n"/>
      <c r="J648" s="41" t="n"/>
      <c r="K648" s="41" t="n"/>
      <c r="L648" s="42" t="n"/>
      <c r="M648" s="43" t="n"/>
      <c r="N648" s="43" t="n"/>
      <c r="O648" s="44" t="n"/>
      <c r="P648" s="45" t="n"/>
      <c r="Q648" s="45" t="n"/>
      <c r="S648" s="39" t="n"/>
    </row>
    <row r="649" ht="15.75" customHeight="1">
      <c r="F649" s="39" t="n"/>
      <c r="I649" s="40" t="n"/>
      <c r="J649" s="41" t="n"/>
      <c r="K649" s="41" t="n"/>
      <c r="L649" s="42" t="n"/>
      <c r="M649" s="43" t="n"/>
      <c r="N649" s="43" t="n"/>
      <c r="O649" s="44" t="n"/>
      <c r="P649" s="45" t="n"/>
      <c r="Q649" s="45" t="n"/>
      <c r="S649" s="39" t="n"/>
    </row>
    <row r="650" ht="15.75" customHeight="1">
      <c r="F650" s="39" t="n"/>
      <c r="I650" s="40" t="n"/>
      <c r="J650" s="41" t="n"/>
      <c r="K650" s="41" t="n"/>
      <c r="L650" s="42" t="n"/>
      <c r="M650" s="43" t="n"/>
      <c r="N650" s="43" t="n"/>
      <c r="O650" s="44" t="n"/>
      <c r="P650" s="45" t="n"/>
      <c r="Q650" s="45" t="n"/>
      <c r="S650" s="39" t="n"/>
    </row>
    <row r="651" ht="15.75" customHeight="1">
      <c r="F651" s="39" t="n"/>
      <c r="I651" s="40" t="n"/>
      <c r="J651" s="41" t="n"/>
      <c r="K651" s="41" t="n"/>
      <c r="L651" s="42" t="n"/>
      <c r="M651" s="43" t="n"/>
      <c r="N651" s="43" t="n"/>
      <c r="O651" s="44" t="n"/>
      <c r="P651" s="45" t="n"/>
      <c r="Q651" s="45" t="n"/>
      <c r="S651" s="39" t="n"/>
    </row>
    <row r="652" ht="15.75" customHeight="1">
      <c r="F652" s="39" t="n"/>
      <c r="I652" s="40" t="n"/>
      <c r="J652" s="41" t="n"/>
      <c r="K652" s="41" t="n"/>
      <c r="L652" s="42" t="n"/>
      <c r="M652" s="43" t="n"/>
      <c r="N652" s="43" t="n"/>
      <c r="O652" s="44" t="n"/>
      <c r="P652" s="45" t="n"/>
      <c r="Q652" s="45" t="n"/>
      <c r="S652" s="39" t="n"/>
    </row>
    <row r="653" ht="15.75" customHeight="1">
      <c r="F653" s="39" t="n"/>
      <c r="I653" s="40" t="n"/>
      <c r="J653" s="41" t="n"/>
      <c r="K653" s="41" t="n"/>
      <c r="L653" s="42" t="n"/>
      <c r="M653" s="43" t="n"/>
      <c r="N653" s="43" t="n"/>
      <c r="O653" s="44" t="n"/>
      <c r="P653" s="45" t="n"/>
      <c r="Q653" s="45" t="n"/>
      <c r="S653" s="39" t="n"/>
    </row>
    <row r="654" ht="15.75" customHeight="1">
      <c r="F654" s="39" t="n"/>
      <c r="I654" s="40" t="n"/>
      <c r="J654" s="41" t="n"/>
      <c r="K654" s="41" t="n"/>
      <c r="L654" s="42" t="n"/>
      <c r="M654" s="43" t="n"/>
      <c r="N654" s="43" t="n"/>
      <c r="O654" s="44" t="n"/>
      <c r="P654" s="45" t="n"/>
      <c r="Q654" s="45" t="n"/>
      <c r="S654" s="39" t="n"/>
    </row>
    <row r="655" ht="15.75" customHeight="1">
      <c r="F655" s="39" t="n"/>
      <c r="I655" s="40" t="n"/>
      <c r="J655" s="41" t="n"/>
      <c r="K655" s="41" t="n"/>
      <c r="L655" s="42" t="n"/>
      <c r="M655" s="43" t="n"/>
      <c r="N655" s="43" t="n"/>
      <c r="O655" s="44" t="n"/>
      <c r="P655" s="45" t="n"/>
      <c r="Q655" s="45" t="n"/>
      <c r="S655" s="39" t="n"/>
    </row>
    <row r="656" ht="15.75" customHeight="1">
      <c r="F656" s="39" t="n"/>
      <c r="I656" s="40" t="n"/>
      <c r="J656" s="41" t="n"/>
      <c r="K656" s="41" t="n"/>
      <c r="L656" s="42" t="n"/>
      <c r="M656" s="43" t="n"/>
      <c r="N656" s="43" t="n"/>
      <c r="O656" s="44" t="n"/>
      <c r="P656" s="45" t="n"/>
      <c r="Q656" s="45" t="n"/>
      <c r="S656" s="39" t="n"/>
    </row>
    <row r="657" ht="15.75" customHeight="1">
      <c r="F657" s="39" t="n"/>
      <c r="I657" s="40" t="n"/>
      <c r="J657" s="41" t="n"/>
      <c r="K657" s="41" t="n"/>
      <c r="L657" s="42" t="n"/>
      <c r="M657" s="43" t="n"/>
      <c r="N657" s="43" t="n"/>
      <c r="O657" s="44" t="n"/>
      <c r="P657" s="45" t="n"/>
      <c r="Q657" s="45" t="n"/>
      <c r="S657" s="39" t="n"/>
    </row>
    <row r="658" ht="15.75" customHeight="1">
      <c r="F658" s="39" t="n"/>
      <c r="I658" s="40" t="n"/>
      <c r="J658" s="41" t="n"/>
      <c r="K658" s="41" t="n"/>
      <c r="L658" s="42" t="n"/>
      <c r="M658" s="43" t="n"/>
      <c r="N658" s="43" t="n"/>
      <c r="O658" s="44" t="n"/>
      <c r="P658" s="45" t="n"/>
      <c r="Q658" s="45" t="n"/>
      <c r="S658" s="39" t="n"/>
    </row>
    <row r="659" ht="15.75" customHeight="1">
      <c r="F659" s="39" t="n"/>
      <c r="I659" s="40" t="n"/>
      <c r="J659" s="41" t="n"/>
      <c r="K659" s="41" t="n"/>
      <c r="L659" s="42" t="n"/>
      <c r="M659" s="43" t="n"/>
      <c r="N659" s="43" t="n"/>
      <c r="O659" s="44" t="n"/>
      <c r="P659" s="45" t="n"/>
      <c r="Q659" s="45" t="n"/>
      <c r="S659" s="39" t="n"/>
    </row>
    <row r="660" ht="15.75" customHeight="1">
      <c r="F660" s="39" t="n"/>
      <c r="I660" s="40" t="n"/>
      <c r="J660" s="41" t="n"/>
      <c r="K660" s="41" t="n"/>
      <c r="L660" s="42" t="n"/>
      <c r="M660" s="43" t="n"/>
      <c r="N660" s="43" t="n"/>
      <c r="O660" s="44" t="n"/>
      <c r="P660" s="45" t="n"/>
      <c r="Q660" s="45" t="n"/>
      <c r="S660" s="39" t="n"/>
    </row>
    <row r="661" ht="15.75" customHeight="1">
      <c r="F661" s="39" t="n"/>
      <c r="I661" s="40" t="n"/>
      <c r="J661" s="41" t="n"/>
      <c r="K661" s="41" t="n"/>
      <c r="L661" s="42" t="n"/>
      <c r="M661" s="43" t="n"/>
      <c r="N661" s="43" t="n"/>
      <c r="O661" s="44" t="n"/>
      <c r="P661" s="45" t="n"/>
      <c r="Q661" s="45" t="n"/>
      <c r="S661" s="39" t="n"/>
    </row>
    <row r="662" ht="15.75" customHeight="1">
      <c r="F662" s="39" t="n"/>
      <c r="I662" s="40" t="n"/>
      <c r="J662" s="41" t="n"/>
      <c r="K662" s="41" t="n"/>
      <c r="L662" s="42" t="n"/>
      <c r="M662" s="43" t="n"/>
      <c r="N662" s="43" t="n"/>
      <c r="O662" s="44" t="n"/>
      <c r="P662" s="45" t="n"/>
      <c r="Q662" s="45" t="n"/>
      <c r="S662" s="39" t="n"/>
    </row>
    <row r="663" ht="15.75" customHeight="1">
      <c r="F663" s="39" t="n"/>
      <c r="I663" s="40" t="n"/>
      <c r="J663" s="41" t="n"/>
      <c r="K663" s="41" t="n"/>
      <c r="L663" s="42" t="n"/>
      <c r="M663" s="43" t="n"/>
      <c r="N663" s="43" t="n"/>
      <c r="O663" s="44" t="n"/>
      <c r="P663" s="45" t="n"/>
      <c r="Q663" s="45" t="n"/>
      <c r="S663" s="39" t="n"/>
    </row>
    <row r="664" ht="15.75" customHeight="1">
      <c r="F664" s="39" t="n"/>
      <c r="I664" s="40" t="n"/>
      <c r="J664" s="41" t="n"/>
      <c r="K664" s="41" t="n"/>
      <c r="L664" s="42" t="n"/>
      <c r="M664" s="43" t="n"/>
      <c r="N664" s="43" t="n"/>
      <c r="O664" s="44" t="n"/>
      <c r="P664" s="45" t="n"/>
      <c r="Q664" s="45" t="n"/>
      <c r="S664" s="39" t="n"/>
    </row>
    <row r="665" ht="15.75" customHeight="1">
      <c r="F665" s="39" t="n"/>
      <c r="I665" s="40" t="n"/>
      <c r="J665" s="41" t="n"/>
      <c r="K665" s="41" t="n"/>
      <c r="L665" s="42" t="n"/>
      <c r="M665" s="43" t="n"/>
      <c r="N665" s="43" t="n"/>
      <c r="O665" s="44" t="n"/>
      <c r="P665" s="45" t="n"/>
      <c r="Q665" s="45" t="n"/>
      <c r="S665" s="39" t="n"/>
    </row>
    <row r="666" ht="15.75" customHeight="1">
      <c r="F666" s="39" t="n"/>
      <c r="I666" s="40" t="n"/>
      <c r="J666" s="41" t="n"/>
      <c r="K666" s="41" t="n"/>
      <c r="L666" s="42" t="n"/>
      <c r="M666" s="43" t="n"/>
      <c r="N666" s="43" t="n"/>
      <c r="O666" s="44" t="n"/>
      <c r="P666" s="45" t="n"/>
      <c r="Q666" s="45" t="n"/>
      <c r="S666" s="39" t="n"/>
    </row>
    <row r="667" ht="15.75" customHeight="1">
      <c r="F667" s="39" t="n"/>
      <c r="I667" s="40" t="n"/>
      <c r="J667" s="41" t="n"/>
      <c r="K667" s="41" t="n"/>
      <c r="L667" s="42" t="n"/>
      <c r="M667" s="43" t="n"/>
      <c r="N667" s="43" t="n"/>
      <c r="O667" s="44" t="n"/>
      <c r="P667" s="45" t="n"/>
      <c r="Q667" s="45" t="n"/>
      <c r="S667" s="39" t="n"/>
    </row>
    <row r="668" ht="15.75" customHeight="1">
      <c r="F668" s="39" t="n"/>
      <c r="I668" s="40" t="n"/>
      <c r="J668" s="41" t="n"/>
      <c r="K668" s="41" t="n"/>
      <c r="L668" s="42" t="n"/>
      <c r="M668" s="43" t="n"/>
      <c r="N668" s="43" t="n"/>
      <c r="O668" s="44" t="n"/>
      <c r="P668" s="45" t="n"/>
      <c r="Q668" s="45" t="n"/>
      <c r="S668" s="39" t="n"/>
    </row>
    <row r="669" ht="15.75" customHeight="1">
      <c r="F669" s="39" t="n"/>
      <c r="I669" s="40" t="n"/>
      <c r="J669" s="41" t="n"/>
      <c r="K669" s="41" t="n"/>
      <c r="L669" s="42" t="n"/>
      <c r="M669" s="43" t="n"/>
      <c r="N669" s="43" t="n"/>
      <c r="O669" s="44" t="n"/>
      <c r="P669" s="45" t="n"/>
      <c r="Q669" s="45" t="n"/>
      <c r="S669" s="39" t="n"/>
    </row>
    <row r="670" ht="15.75" customHeight="1">
      <c r="F670" s="39" t="n"/>
      <c r="I670" s="40" t="n"/>
      <c r="J670" s="41" t="n"/>
      <c r="K670" s="41" t="n"/>
      <c r="L670" s="42" t="n"/>
      <c r="M670" s="43" t="n"/>
      <c r="N670" s="43" t="n"/>
      <c r="O670" s="44" t="n"/>
      <c r="P670" s="45" t="n"/>
      <c r="Q670" s="45" t="n"/>
      <c r="S670" s="39" t="n"/>
    </row>
    <row r="671" ht="15.75" customHeight="1">
      <c r="F671" s="39" t="n"/>
      <c r="I671" s="40" t="n"/>
      <c r="J671" s="41" t="n"/>
      <c r="K671" s="41" t="n"/>
      <c r="L671" s="42" t="n"/>
      <c r="M671" s="43" t="n"/>
      <c r="N671" s="43" t="n"/>
      <c r="O671" s="44" t="n"/>
      <c r="P671" s="45" t="n"/>
      <c r="Q671" s="45" t="n"/>
      <c r="S671" s="39" t="n"/>
    </row>
    <row r="672" ht="15.75" customHeight="1">
      <c r="F672" s="39" t="n"/>
      <c r="I672" s="40" t="n"/>
      <c r="J672" s="41" t="n"/>
      <c r="K672" s="41" t="n"/>
      <c r="L672" s="42" t="n"/>
      <c r="M672" s="43" t="n"/>
      <c r="N672" s="43" t="n"/>
      <c r="O672" s="44" t="n"/>
      <c r="P672" s="45" t="n"/>
      <c r="Q672" s="45" t="n"/>
      <c r="S672" s="39" t="n"/>
    </row>
    <row r="673" ht="15.75" customHeight="1">
      <c r="F673" s="39" t="n"/>
      <c r="I673" s="40" t="n"/>
      <c r="J673" s="41" t="n"/>
      <c r="K673" s="41" t="n"/>
      <c r="L673" s="42" t="n"/>
      <c r="M673" s="43" t="n"/>
      <c r="N673" s="43" t="n"/>
      <c r="O673" s="44" t="n"/>
      <c r="P673" s="45" t="n"/>
      <c r="Q673" s="45" t="n"/>
      <c r="S673" s="39" t="n"/>
    </row>
    <row r="674" ht="15.75" customHeight="1">
      <c r="F674" s="39" t="n"/>
      <c r="I674" s="40" t="n"/>
      <c r="J674" s="41" t="n"/>
      <c r="K674" s="41" t="n"/>
      <c r="L674" s="42" t="n"/>
      <c r="M674" s="43" t="n"/>
      <c r="N674" s="43" t="n"/>
      <c r="O674" s="44" t="n"/>
      <c r="P674" s="45" t="n"/>
      <c r="Q674" s="45" t="n"/>
      <c r="S674" s="39" t="n"/>
    </row>
    <row r="675" ht="15.75" customHeight="1">
      <c r="F675" s="39" t="n"/>
      <c r="I675" s="40" t="n"/>
      <c r="J675" s="41" t="n"/>
      <c r="K675" s="41" t="n"/>
      <c r="L675" s="42" t="n"/>
      <c r="M675" s="43" t="n"/>
      <c r="N675" s="43" t="n"/>
      <c r="O675" s="44" t="n"/>
      <c r="P675" s="45" t="n"/>
      <c r="Q675" s="45" t="n"/>
      <c r="S675" s="39" t="n"/>
    </row>
    <row r="676" ht="15.75" customHeight="1">
      <c r="F676" s="39" t="n"/>
      <c r="I676" s="40" t="n"/>
      <c r="J676" s="41" t="n"/>
      <c r="K676" s="41" t="n"/>
      <c r="L676" s="42" t="n"/>
      <c r="M676" s="43" t="n"/>
      <c r="N676" s="43" t="n"/>
      <c r="O676" s="44" t="n"/>
      <c r="P676" s="45" t="n"/>
      <c r="Q676" s="45" t="n"/>
      <c r="S676" s="39" t="n"/>
    </row>
    <row r="677" ht="15.75" customHeight="1">
      <c r="F677" s="39" t="n"/>
      <c r="I677" s="40" t="n"/>
      <c r="J677" s="41" t="n"/>
      <c r="K677" s="41" t="n"/>
      <c r="L677" s="42" t="n"/>
      <c r="M677" s="43" t="n"/>
      <c r="N677" s="43" t="n"/>
      <c r="O677" s="44" t="n"/>
      <c r="P677" s="45" t="n"/>
      <c r="Q677" s="45" t="n"/>
      <c r="S677" s="39" t="n"/>
    </row>
    <row r="678" ht="15.75" customHeight="1">
      <c r="F678" s="39" t="n"/>
      <c r="I678" s="40" t="n"/>
      <c r="J678" s="41" t="n"/>
      <c r="K678" s="41" t="n"/>
      <c r="L678" s="42" t="n"/>
      <c r="M678" s="43" t="n"/>
      <c r="N678" s="43" t="n"/>
      <c r="O678" s="44" t="n"/>
      <c r="P678" s="45" t="n"/>
      <c r="Q678" s="45" t="n"/>
      <c r="S678" s="39" t="n"/>
    </row>
    <row r="679" ht="15.75" customHeight="1">
      <c r="F679" s="39" t="n"/>
      <c r="I679" s="40" t="n"/>
      <c r="J679" s="41" t="n"/>
      <c r="K679" s="41" t="n"/>
      <c r="L679" s="42" t="n"/>
      <c r="M679" s="43" t="n"/>
      <c r="N679" s="43" t="n"/>
      <c r="O679" s="44" t="n"/>
      <c r="P679" s="45" t="n"/>
      <c r="Q679" s="45" t="n"/>
      <c r="S679" s="39" t="n"/>
    </row>
    <row r="680" ht="15.75" customHeight="1">
      <c r="F680" s="39" t="n"/>
      <c r="I680" s="40" t="n"/>
      <c r="J680" s="41" t="n"/>
      <c r="K680" s="41" t="n"/>
      <c r="L680" s="42" t="n"/>
      <c r="M680" s="43" t="n"/>
      <c r="N680" s="43" t="n"/>
      <c r="O680" s="44" t="n"/>
      <c r="P680" s="45" t="n"/>
      <c r="Q680" s="45" t="n"/>
      <c r="S680" s="39" t="n"/>
    </row>
    <row r="681" ht="15.75" customHeight="1">
      <c r="F681" s="39" t="n"/>
      <c r="I681" s="40" t="n"/>
      <c r="J681" s="41" t="n"/>
      <c r="K681" s="41" t="n"/>
      <c r="L681" s="42" t="n"/>
      <c r="M681" s="43" t="n"/>
      <c r="N681" s="43" t="n"/>
      <c r="O681" s="44" t="n"/>
      <c r="P681" s="45" t="n"/>
      <c r="Q681" s="45" t="n"/>
      <c r="S681" s="39" t="n"/>
    </row>
    <row r="682" ht="15.75" customHeight="1">
      <c r="F682" s="39" t="n"/>
      <c r="I682" s="40" t="n"/>
      <c r="J682" s="41" t="n"/>
      <c r="K682" s="41" t="n"/>
      <c r="L682" s="42" t="n"/>
      <c r="M682" s="43" t="n"/>
      <c r="N682" s="43" t="n"/>
      <c r="O682" s="44" t="n"/>
      <c r="P682" s="45" t="n"/>
      <c r="Q682" s="45" t="n"/>
      <c r="S682" s="39" t="n"/>
    </row>
    <row r="683" ht="15.75" customHeight="1">
      <c r="F683" s="39" t="n"/>
      <c r="I683" s="40" t="n"/>
      <c r="J683" s="41" t="n"/>
      <c r="K683" s="41" t="n"/>
      <c r="L683" s="42" t="n"/>
      <c r="M683" s="43" t="n"/>
      <c r="N683" s="43" t="n"/>
      <c r="O683" s="44" t="n"/>
      <c r="P683" s="45" t="n"/>
      <c r="Q683" s="45" t="n"/>
      <c r="S683" s="39" t="n"/>
    </row>
    <row r="684" ht="15.75" customHeight="1">
      <c r="F684" s="39" t="n"/>
      <c r="I684" s="40" t="n"/>
      <c r="J684" s="41" t="n"/>
      <c r="K684" s="41" t="n"/>
      <c r="L684" s="42" t="n"/>
      <c r="M684" s="43" t="n"/>
      <c r="N684" s="43" t="n"/>
      <c r="O684" s="44" t="n"/>
      <c r="P684" s="45" t="n"/>
      <c r="Q684" s="45" t="n"/>
      <c r="S684" s="39" t="n"/>
    </row>
    <row r="685" ht="15.75" customHeight="1">
      <c r="F685" s="39" t="n"/>
      <c r="I685" s="40" t="n"/>
      <c r="J685" s="41" t="n"/>
      <c r="K685" s="41" t="n"/>
      <c r="L685" s="42" t="n"/>
      <c r="M685" s="43" t="n"/>
      <c r="N685" s="43" t="n"/>
      <c r="O685" s="44" t="n"/>
      <c r="P685" s="45" t="n"/>
      <c r="Q685" s="45" t="n"/>
      <c r="S685" s="39" t="n"/>
    </row>
    <row r="686" ht="15.75" customHeight="1">
      <c r="F686" s="39" t="n"/>
      <c r="I686" s="40" t="n"/>
      <c r="J686" s="41" t="n"/>
      <c r="K686" s="41" t="n"/>
      <c r="L686" s="42" t="n"/>
      <c r="M686" s="43" t="n"/>
      <c r="N686" s="43" t="n"/>
      <c r="O686" s="44" t="n"/>
      <c r="P686" s="45" t="n"/>
      <c r="Q686" s="45" t="n"/>
      <c r="S686" s="39" t="n"/>
    </row>
    <row r="687" ht="15.75" customHeight="1">
      <c r="F687" s="39" t="n"/>
      <c r="I687" s="40" t="n"/>
      <c r="J687" s="41" t="n"/>
      <c r="K687" s="41" t="n"/>
      <c r="L687" s="42" t="n"/>
      <c r="M687" s="43" t="n"/>
      <c r="N687" s="43" t="n"/>
      <c r="O687" s="44" t="n"/>
      <c r="P687" s="45" t="n"/>
      <c r="Q687" s="45" t="n"/>
      <c r="S687" s="39" t="n"/>
    </row>
    <row r="688" ht="15.75" customHeight="1">
      <c r="F688" s="39" t="n"/>
      <c r="I688" s="40" t="n"/>
      <c r="J688" s="41" t="n"/>
      <c r="K688" s="41" t="n"/>
      <c r="L688" s="42" t="n"/>
      <c r="M688" s="43" t="n"/>
      <c r="N688" s="43" t="n"/>
      <c r="O688" s="44" t="n"/>
      <c r="P688" s="45" t="n"/>
      <c r="Q688" s="45" t="n"/>
      <c r="S688" s="39" t="n"/>
    </row>
    <row r="689" ht="15.75" customHeight="1">
      <c r="F689" s="39" t="n"/>
      <c r="I689" s="40" t="n"/>
      <c r="J689" s="41" t="n"/>
      <c r="K689" s="41" t="n"/>
      <c r="L689" s="42" t="n"/>
      <c r="M689" s="43" t="n"/>
      <c r="N689" s="43" t="n"/>
      <c r="O689" s="44" t="n"/>
      <c r="P689" s="45" t="n"/>
      <c r="Q689" s="45" t="n"/>
      <c r="S689" s="39" t="n"/>
    </row>
    <row r="690" ht="15.75" customHeight="1">
      <c r="F690" s="39" t="n"/>
      <c r="I690" s="40" t="n"/>
      <c r="J690" s="41" t="n"/>
      <c r="K690" s="41" t="n"/>
      <c r="L690" s="42" t="n"/>
      <c r="M690" s="43" t="n"/>
      <c r="N690" s="43" t="n"/>
      <c r="O690" s="44" t="n"/>
      <c r="P690" s="45" t="n"/>
      <c r="Q690" s="45" t="n"/>
      <c r="S690" s="39" t="n"/>
    </row>
    <row r="691" ht="15.75" customHeight="1">
      <c r="F691" s="39" t="n"/>
      <c r="I691" s="40" t="n"/>
      <c r="J691" s="41" t="n"/>
      <c r="K691" s="41" t="n"/>
      <c r="L691" s="42" t="n"/>
      <c r="M691" s="43" t="n"/>
      <c r="N691" s="43" t="n"/>
      <c r="O691" s="44" t="n"/>
      <c r="P691" s="45" t="n"/>
      <c r="Q691" s="45" t="n"/>
      <c r="S691" s="39" t="n"/>
    </row>
    <row r="692" ht="15.75" customHeight="1">
      <c r="F692" s="39" t="n"/>
      <c r="I692" s="40" t="n"/>
      <c r="J692" s="41" t="n"/>
      <c r="K692" s="41" t="n"/>
      <c r="L692" s="42" t="n"/>
      <c r="M692" s="43" t="n"/>
      <c r="N692" s="43" t="n"/>
      <c r="O692" s="44" t="n"/>
      <c r="P692" s="45" t="n"/>
      <c r="Q692" s="45" t="n"/>
      <c r="S692" s="39" t="n"/>
    </row>
    <row r="693" ht="15.75" customHeight="1">
      <c r="F693" s="39" t="n"/>
      <c r="I693" s="40" t="n"/>
      <c r="J693" s="41" t="n"/>
      <c r="K693" s="41" t="n"/>
      <c r="L693" s="42" t="n"/>
      <c r="M693" s="43" t="n"/>
      <c r="N693" s="43" t="n"/>
      <c r="O693" s="44" t="n"/>
      <c r="P693" s="45" t="n"/>
      <c r="Q693" s="45" t="n"/>
      <c r="S693" s="39" t="n"/>
    </row>
    <row r="694" ht="15.75" customHeight="1">
      <c r="F694" s="39" t="n"/>
      <c r="I694" s="40" t="n"/>
      <c r="J694" s="41" t="n"/>
      <c r="K694" s="41" t="n"/>
      <c r="L694" s="42" t="n"/>
      <c r="M694" s="43" t="n"/>
      <c r="N694" s="43" t="n"/>
      <c r="O694" s="44" t="n"/>
      <c r="P694" s="45" t="n"/>
      <c r="Q694" s="45" t="n"/>
      <c r="S694" s="39" t="n"/>
    </row>
    <row r="695" ht="15.75" customHeight="1">
      <c r="F695" s="39" t="n"/>
      <c r="I695" s="40" t="n"/>
      <c r="J695" s="41" t="n"/>
      <c r="K695" s="41" t="n"/>
      <c r="L695" s="42" t="n"/>
      <c r="M695" s="43" t="n"/>
      <c r="N695" s="43" t="n"/>
      <c r="O695" s="44" t="n"/>
      <c r="P695" s="45" t="n"/>
      <c r="Q695" s="45" t="n"/>
      <c r="S695" s="39" t="n"/>
    </row>
    <row r="696" ht="15.75" customHeight="1">
      <c r="F696" s="39" t="n"/>
      <c r="I696" s="40" t="n"/>
      <c r="J696" s="41" t="n"/>
      <c r="K696" s="41" t="n"/>
      <c r="L696" s="42" t="n"/>
      <c r="M696" s="43" t="n"/>
      <c r="N696" s="43" t="n"/>
      <c r="O696" s="44" t="n"/>
      <c r="P696" s="45" t="n"/>
      <c r="Q696" s="45" t="n"/>
      <c r="S696" s="39" t="n"/>
    </row>
    <row r="697" ht="15.75" customHeight="1">
      <c r="F697" s="39" t="n"/>
      <c r="I697" s="40" t="n"/>
      <c r="J697" s="41" t="n"/>
      <c r="K697" s="41" t="n"/>
      <c r="L697" s="42" t="n"/>
      <c r="M697" s="43" t="n"/>
      <c r="N697" s="43" t="n"/>
      <c r="O697" s="44" t="n"/>
      <c r="P697" s="45" t="n"/>
      <c r="Q697" s="45" t="n"/>
      <c r="S697" s="39" t="n"/>
    </row>
    <row r="698" ht="15.75" customHeight="1">
      <c r="F698" s="39" t="n"/>
      <c r="I698" s="40" t="n"/>
      <c r="J698" s="41" t="n"/>
      <c r="K698" s="41" t="n"/>
      <c r="L698" s="42" t="n"/>
      <c r="M698" s="43" t="n"/>
      <c r="N698" s="43" t="n"/>
      <c r="O698" s="44" t="n"/>
      <c r="P698" s="45" t="n"/>
      <c r="Q698" s="45" t="n"/>
      <c r="S698" s="39" t="n"/>
    </row>
    <row r="699" ht="15.75" customHeight="1">
      <c r="F699" s="39" t="n"/>
      <c r="I699" s="40" t="n"/>
      <c r="J699" s="41" t="n"/>
      <c r="K699" s="41" t="n"/>
      <c r="L699" s="42" t="n"/>
      <c r="M699" s="43" t="n"/>
      <c r="N699" s="43" t="n"/>
      <c r="O699" s="44" t="n"/>
      <c r="P699" s="45" t="n"/>
      <c r="Q699" s="45" t="n"/>
      <c r="S699" s="39" t="n"/>
    </row>
    <row r="700" ht="15.75" customHeight="1">
      <c r="F700" s="39" t="n"/>
      <c r="I700" s="40" t="n"/>
      <c r="J700" s="41" t="n"/>
      <c r="K700" s="41" t="n"/>
      <c r="L700" s="42" t="n"/>
      <c r="M700" s="43" t="n"/>
      <c r="N700" s="43" t="n"/>
      <c r="O700" s="44" t="n"/>
      <c r="P700" s="45" t="n"/>
      <c r="Q700" s="45" t="n"/>
      <c r="S700" s="39" t="n"/>
    </row>
    <row r="701" ht="15.75" customHeight="1">
      <c r="F701" s="39" t="n"/>
      <c r="I701" s="40" t="n"/>
      <c r="J701" s="41" t="n"/>
      <c r="K701" s="41" t="n"/>
      <c r="L701" s="42" t="n"/>
      <c r="M701" s="43" t="n"/>
      <c r="N701" s="43" t="n"/>
      <c r="O701" s="44" t="n"/>
      <c r="P701" s="45" t="n"/>
      <c r="Q701" s="45" t="n"/>
      <c r="S701" s="39" t="n"/>
    </row>
    <row r="702" ht="15.75" customHeight="1">
      <c r="F702" s="39" t="n"/>
      <c r="I702" s="40" t="n"/>
      <c r="J702" s="41" t="n"/>
      <c r="K702" s="41" t="n"/>
      <c r="L702" s="42" t="n"/>
      <c r="M702" s="43" t="n"/>
      <c r="N702" s="43" t="n"/>
      <c r="O702" s="44" t="n"/>
      <c r="P702" s="45" t="n"/>
      <c r="Q702" s="45" t="n"/>
      <c r="S702" s="39" t="n"/>
    </row>
    <row r="703" ht="15.75" customHeight="1">
      <c r="F703" s="39" t="n"/>
      <c r="I703" s="40" t="n"/>
      <c r="J703" s="41" t="n"/>
      <c r="K703" s="41" t="n"/>
      <c r="L703" s="42" t="n"/>
      <c r="M703" s="43" t="n"/>
      <c r="N703" s="43" t="n"/>
      <c r="O703" s="44" t="n"/>
      <c r="P703" s="45" t="n"/>
      <c r="Q703" s="45" t="n"/>
      <c r="S703" s="39" t="n"/>
    </row>
    <row r="704" ht="15.75" customHeight="1">
      <c r="F704" s="39" t="n"/>
      <c r="I704" s="40" t="n"/>
      <c r="J704" s="41" t="n"/>
      <c r="K704" s="41" t="n"/>
      <c r="L704" s="42" t="n"/>
      <c r="M704" s="43" t="n"/>
      <c r="N704" s="43" t="n"/>
      <c r="O704" s="44" t="n"/>
      <c r="P704" s="45" t="n"/>
      <c r="Q704" s="45" t="n"/>
      <c r="S704" s="39" t="n"/>
    </row>
    <row r="705" ht="15.75" customHeight="1">
      <c r="F705" s="39" t="n"/>
      <c r="I705" s="40" t="n"/>
      <c r="J705" s="41" t="n"/>
      <c r="K705" s="41" t="n"/>
      <c r="L705" s="42" t="n"/>
      <c r="M705" s="43" t="n"/>
      <c r="N705" s="43" t="n"/>
      <c r="O705" s="44" t="n"/>
      <c r="P705" s="45" t="n"/>
      <c r="Q705" s="45" t="n"/>
      <c r="S705" s="39" t="n"/>
    </row>
    <row r="706" ht="15.75" customHeight="1">
      <c r="F706" s="39" t="n"/>
      <c r="I706" s="40" t="n"/>
      <c r="J706" s="41" t="n"/>
      <c r="K706" s="41" t="n"/>
      <c r="L706" s="42" t="n"/>
      <c r="M706" s="43" t="n"/>
      <c r="N706" s="43" t="n"/>
      <c r="O706" s="44" t="n"/>
      <c r="P706" s="45" t="n"/>
      <c r="Q706" s="45" t="n"/>
      <c r="S706" s="39" t="n"/>
    </row>
    <row r="707" ht="15.75" customHeight="1">
      <c r="F707" s="39" t="n"/>
      <c r="I707" s="40" t="n"/>
      <c r="J707" s="41" t="n"/>
      <c r="K707" s="41" t="n"/>
      <c r="L707" s="42" t="n"/>
      <c r="M707" s="43" t="n"/>
      <c r="N707" s="43" t="n"/>
      <c r="O707" s="44" t="n"/>
      <c r="P707" s="45" t="n"/>
      <c r="Q707" s="45" t="n"/>
      <c r="S707" s="39" t="n"/>
    </row>
    <row r="708" ht="15.75" customHeight="1">
      <c r="F708" s="39" t="n"/>
      <c r="I708" s="40" t="n"/>
      <c r="J708" s="41" t="n"/>
      <c r="K708" s="41" t="n"/>
      <c r="L708" s="42" t="n"/>
      <c r="M708" s="43" t="n"/>
      <c r="N708" s="43" t="n"/>
      <c r="O708" s="44" t="n"/>
      <c r="P708" s="45" t="n"/>
      <c r="Q708" s="45" t="n"/>
      <c r="S708" s="39" t="n"/>
    </row>
    <row r="709" ht="15.75" customHeight="1">
      <c r="F709" s="39" t="n"/>
      <c r="I709" s="40" t="n"/>
      <c r="J709" s="41" t="n"/>
      <c r="K709" s="41" t="n"/>
      <c r="L709" s="42" t="n"/>
      <c r="M709" s="43" t="n"/>
      <c r="N709" s="43" t="n"/>
      <c r="O709" s="44" t="n"/>
      <c r="P709" s="45" t="n"/>
      <c r="Q709" s="45" t="n"/>
      <c r="S709" s="39" t="n"/>
    </row>
    <row r="710" ht="15.75" customHeight="1">
      <c r="F710" s="39" t="n"/>
      <c r="I710" s="40" t="n"/>
      <c r="J710" s="41" t="n"/>
      <c r="K710" s="41" t="n"/>
      <c r="L710" s="42" t="n"/>
      <c r="M710" s="43" t="n"/>
      <c r="N710" s="43" t="n"/>
      <c r="O710" s="44" t="n"/>
      <c r="P710" s="45" t="n"/>
      <c r="Q710" s="45" t="n"/>
      <c r="S710" s="39" t="n"/>
    </row>
    <row r="711" ht="15.75" customHeight="1">
      <c r="F711" s="39" t="n"/>
      <c r="I711" s="40" t="n"/>
      <c r="J711" s="41" t="n"/>
      <c r="K711" s="41" t="n"/>
      <c r="L711" s="42" t="n"/>
      <c r="M711" s="43" t="n"/>
      <c r="N711" s="43" t="n"/>
      <c r="O711" s="44" t="n"/>
      <c r="P711" s="45" t="n"/>
      <c r="Q711" s="45" t="n"/>
      <c r="S711" s="39" t="n"/>
    </row>
    <row r="712" ht="15.75" customHeight="1">
      <c r="F712" s="39" t="n"/>
      <c r="I712" s="40" t="n"/>
      <c r="J712" s="41" t="n"/>
      <c r="K712" s="41" t="n"/>
      <c r="L712" s="42" t="n"/>
      <c r="M712" s="43" t="n"/>
      <c r="N712" s="43" t="n"/>
      <c r="O712" s="44" t="n"/>
      <c r="P712" s="45" t="n"/>
      <c r="Q712" s="45" t="n"/>
      <c r="S712" s="39" t="n"/>
    </row>
    <row r="713" ht="15.75" customHeight="1">
      <c r="F713" s="39" t="n"/>
      <c r="I713" s="40" t="n"/>
      <c r="J713" s="41" t="n"/>
      <c r="K713" s="41" t="n"/>
      <c r="L713" s="42" t="n"/>
      <c r="M713" s="43" t="n"/>
      <c r="N713" s="43" t="n"/>
      <c r="O713" s="44" t="n"/>
      <c r="P713" s="45" t="n"/>
      <c r="Q713" s="45" t="n"/>
      <c r="S713" s="39" t="n"/>
    </row>
    <row r="714" ht="15.75" customHeight="1">
      <c r="F714" s="39" t="n"/>
      <c r="I714" s="40" t="n"/>
      <c r="J714" s="41" t="n"/>
      <c r="K714" s="41" t="n"/>
      <c r="L714" s="42" t="n"/>
      <c r="M714" s="43" t="n"/>
      <c r="N714" s="43" t="n"/>
      <c r="O714" s="44" t="n"/>
      <c r="P714" s="45" t="n"/>
      <c r="Q714" s="45" t="n"/>
      <c r="S714" s="39" t="n"/>
    </row>
    <row r="715" ht="15.75" customHeight="1">
      <c r="F715" s="39" t="n"/>
      <c r="I715" s="40" t="n"/>
      <c r="J715" s="41" t="n"/>
      <c r="K715" s="41" t="n"/>
      <c r="L715" s="42" t="n"/>
      <c r="M715" s="43" t="n"/>
      <c r="N715" s="43" t="n"/>
      <c r="O715" s="44" t="n"/>
      <c r="P715" s="45" t="n"/>
      <c r="Q715" s="45" t="n"/>
      <c r="S715" s="39" t="n"/>
    </row>
    <row r="716" ht="15.75" customHeight="1">
      <c r="F716" s="39" t="n"/>
      <c r="I716" s="40" t="n"/>
      <c r="J716" s="41" t="n"/>
      <c r="K716" s="41" t="n"/>
      <c r="L716" s="42" t="n"/>
      <c r="M716" s="43" t="n"/>
      <c r="N716" s="43" t="n"/>
      <c r="O716" s="44" t="n"/>
      <c r="P716" s="45" t="n"/>
      <c r="Q716" s="45" t="n"/>
      <c r="S716" s="39" t="n"/>
    </row>
    <row r="717" ht="15.75" customHeight="1">
      <c r="F717" s="39" t="n"/>
      <c r="I717" s="40" t="n"/>
      <c r="J717" s="41" t="n"/>
      <c r="K717" s="41" t="n"/>
      <c r="L717" s="42" t="n"/>
      <c r="M717" s="43" t="n"/>
      <c r="N717" s="43" t="n"/>
      <c r="O717" s="44" t="n"/>
      <c r="P717" s="45" t="n"/>
      <c r="Q717" s="45" t="n"/>
      <c r="S717" s="39" t="n"/>
    </row>
    <row r="718" ht="15.75" customHeight="1">
      <c r="F718" s="39" t="n"/>
      <c r="I718" s="40" t="n"/>
      <c r="J718" s="41" t="n"/>
      <c r="K718" s="41" t="n"/>
      <c r="L718" s="42" t="n"/>
      <c r="M718" s="43" t="n"/>
      <c r="N718" s="43" t="n"/>
      <c r="O718" s="44" t="n"/>
      <c r="P718" s="45" t="n"/>
      <c r="Q718" s="45" t="n"/>
      <c r="S718" s="39" t="n"/>
    </row>
    <row r="719" ht="15.75" customHeight="1">
      <c r="F719" s="39" t="n"/>
      <c r="I719" s="40" t="n"/>
      <c r="J719" s="41" t="n"/>
      <c r="K719" s="41" t="n"/>
      <c r="L719" s="42" t="n"/>
      <c r="M719" s="43" t="n"/>
      <c r="N719" s="43" t="n"/>
      <c r="O719" s="44" t="n"/>
      <c r="P719" s="45" t="n"/>
      <c r="Q719" s="45" t="n"/>
      <c r="S719" s="39" t="n"/>
    </row>
    <row r="720" ht="15.75" customHeight="1">
      <c r="F720" s="39" t="n"/>
      <c r="I720" s="40" t="n"/>
      <c r="J720" s="41" t="n"/>
      <c r="K720" s="41" t="n"/>
      <c r="L720" s="42" t="n"/>
      <c r="M720" s="43" t="n"/>
      <c r="N720" s="43" t="n"/>
      <c r="O720" s="44" t="n"/>
      <c r="P720" s="45" t="n"/>
      <c r="Q720" s="45" t="n"/>
      <c r="S720" s="39" t="n"/>
    </row>
    <row r="721" ht="15.75" customHeight="1">
      <c r="F721" s="39" t="n"/>
      <c r="I721" s="40" t="n"/>
      <c r="J721" s="41" t="n"/>
      <c r="K721" s="41" t="n"/>
      <c r="L721" s="42" t="n"/>
      <c r="M721" s="43" t="n"/>
      <c r="N721" s="43" t="n"/>
      <c r="O721" s="44" t="n"/>
      <c r="P721" s="45" t="n"/>
      <c r="Q721" s="45" t="n"/>
      <c r="S721" s="39" t="n"/>
    </row>
    <row r="722" ht="15.75" customHeight="1">
      <c r="F722" s="39" t="n"/>
      <c r="I722" s="40" t="n"/>
      <c r="J722" s="41" t="n"/>
      <c r="K722" s="41" t="n"/>
      <c r="L722" s="42" t="n"/>
      <c r="M722" s="43" t="n"/>
      <c r="N722" s="43" t="n"/>
      <c r="O722" s="44" t="n"/>
      <c r="P722" s="45" t="n"/>
      <c r="Q722" s="45" t="n"/>
      <c r="S722" s="39" t="n"/>
    </row>
    <row r="723" ht="15.75" customHeight="1">
      <c r="F723" s="39" t="n"/>
      <c r="I723" s="40" t="n"/>
      <c r="J723" s="41" t="n"/>
      <c r="K723" s="41" t="n"/>
      <c r="L723" s="42" t="n"/>
      <c r="M723" s="43" t="n"/>
      <c r="N723" s="43" t="n"/>
      <c r="O723" s="44" t="n"/>
      <c r="P723" s="45" t="n"/>
      <c r="Q723" s="45" t="n"/>
      <c r="S723" s="39" t="n"/>
    </row>
    <row r="724" ht="15.75" customHeight="1">
      <c r="F724" s="39" t="n"/>
      <c r="I724" s="40" t="n"/>
      <c r="J724" s="41" t="n"/>
      <c r="K724" s="41" t="n"/>
      <c r="L724" s="42" t="n"/>
      <c r="M724" s="43" t="n"/>
      <c r="N724" s="43" t="n"/>
      <c r="O724" s="44" t="n"/>
      <c r="P724" s="45" t="n"/>
      <c r="Q724" s="45" t="n"/>
      <c r="S724" s="39" t="n"/>
    </row>
    <row r="725" ht="15.75" customHeight="1">
      <c r="F725" s="39" t="n"/>
      <c r="I725" s="40" t="n"/>
      <c r="J725" s="41" t="n"/>
      <c r="K725" s="41" t="n"/>
      <c r="L725" s="42" t="n"/>
      <c r="M725" s="43" t="n"/>
      <c r="N725" s="43" t="n"/>
      <c r="O725" s="44" t="n"/>
      <c r="P725" s="45" t="n"/>
      <c r="Q725" s="45" t="n"/>
      <c r="S725" s="39" t="n"/>
    </row>
    <row r="726" ht="15.75" customHeight="1">
      <c r="F726" s="39" t="n"/>
      <c r="I726" s="40" t="n"/>
      <c r="J726" s="41" t="n"/>
      <c r="K726" s="41" t="n"/>
      <c r="L726" s="42" t="n"/>
      <c r="M726" s="43" t="n"/>
      <c r="N726" s="43" t="n"/>
      <c r="O726" s="44" t="n"/>
      <c r="P726" s="45" t="n"/>
      <c r="Q726" s="45" t="n"/>
      <c r="S726" s="39" t="n"/>
    </row>
    <row r="727" ht="15.75" customHeight="1">
      <c r="F727" s="39" t="n"/>
      <c r="I727" s="40" t="n"/>
      <c r="J727" s="41" t="n"/>
      <c r="K727" s="41" t="n"/>
      <c r="L727" s="42" t="n"/>
      <c r="M727" s="43" t="n"/>
      <c r="N727" s="43" t="n"/>
      <c r="O727" s="44" t="n"/>
      <c r="P727" s="45" t="n"/>
      <c r="Q727" s="45" t="n"/>
      <c r="S727" s="39" t="n"/>
    </row>
    <row r="728" ht="15.75" customHeight="1">
      <c r="F728" s="39" t="n"/>
      <c r="I728" s="40" t="n"/>
      <c r="J728" s="41" t="n"/>
      <c r="K728" s="41" t="n"/>
      <c r="L728" s="42" t="n"/>
      <c r="M728" s="43" t="n"/>
      <c r="N728" s="43" t="n"/>
      <c r="O728" s="44" t="n"/>
      <c r="P728" s="45" t="n"/>
      <c r="Q728" s="45" t="n"/>
      <c r="S728" s="39" t="n"/>
    </row>
    <row r="729" ht="15.75" customHeight="1">
      <c r="F729" s="39" t="n"/>
      <c r="I729" s="40" t="n"/>
      <c r="J729" s="41" t="n"/>
      <c r="K729" s="41" t="n"/>
      <c r="L729" s="42" t="n"/>
      <c r="M729" s="43" t="n"/>
      <c r="N729" s="43" t="n"/>
      <c r="O729" s="44" t="n"/>
      <c r="P729" s="45" t="n"/>
      <c r="Q729" s="45" t="n"/>
      <c r="S729" s="39" t="n"/>
    </row>
    <row r="730" ht="15.75" customHeight="1">
      <c r="F730" s="39" t="n"/>
      <c r="I730" s="40" t="n"/>
      <c r="J730" s="41" t="n"/>
      <c r="K730" s="41" t="n"/>
      <c r="L730" s="42" t="n"/>
      <c r="M730" s="43" t="n"/>
      <c r="N730" s="43" t="n"/>
      <c r="O730" s="44" t="n"/>
      <c r="P730" s="45" t="n"/>
      <c r="Q730" s="45" t="n"/>
      <c r="S730" s="39" t="n"/>
    </row>
    <row r="731" ht="15.75" customHeight="1">
      <c r="F731" s="39" t="n"/>
      <c r="I731" s="40" t="n"/>
      <c r="J731" s="41" t="n"/>
      <c r="K731" s="41" t="n"/>
      <c r="L731" s="42" t="n"/>
      <c r="M731" s="43" t="n"/>
      <c r="N731" s="43" t="n"/>
      <c r="O731" s="44" t="n"/>
      <c r="P731" s="45" t="n"/>
      <c r="Q731" s="45" t="n"/>
      <c r="S731" s="39" t="n"/>
    </row>
    <row r="732" ht="15.75" customHeight="1">
      <c r="F732" s="39" t="n"/>
      <c r="I732" s="40" t="n"/>
      <c r="J732" s="41" t="n"/>
      <c r="K732" s="41" t="n"/>
      <c r="L732" s="42" t="n"/>
      <c r="M732" s="43" t="n"/>
      <c r="N732" s="43" t="n"/>
      <c r="O732" s="44" t="n"/>
      <c r="P732" s="45" t="n"/>
      <c r="Q732" s="45" t="n"/>
      <c r="S732" s="39" t="n"/>
    </row>
    <row r="733" ht="15.75" customHeight="1">
      <c r="F733" s="39" t="n"/>
      <c r="I733" s="40" t="n"/>
      <c r="J733" s="41" t="n"/>
      <c r="K733" s="41" t="n"/>
      <c r="L733" s="42" t="n"/>
      <c r="M733" s="43" t="n"/>
      <c r="N733" s="43" t="n"/>
      <c r="O733" s="44" t="n"/>
      <c r="P733" s="45" t="n"/>
      <c r="Q733" s="45" t="n"/>
      <c r="S733" s="39" t="n"/>
    </row>
    <row r="734" ht="15.75" customHeight="1">
      <c r="F734" s="39" t="n"/>
      <c r="I734" s="40" t="n"/>
      <c r="J734" s="41" t="n"/>
      <c r="K734" s="41" t="n"/>
      <c r="L734" s="42" t="n"/>
      <c r="M734" s="43" t="n"/>
      <c r="N734" s="43" t="n"/>
      <c r="O734" s="44" t="n"/>
      <c r="P734" s="45" t="n"/>
      <c r="Q734" s="45" t="n"/>
      <c r="S734" s="39" t="n"/>
    </row>
    <row r="735" ht="15.75" customHeight="1">
      <c r="F735" s="39" t="n"/>
      <c r="I735" s="40" t="n"/>
      <c r="J735" s="41" t="n"/>
      <c r="K735" s="41" t="n"/>
      <c r="L735" s="42" t="n"/>
      <c r="M735" s="43" t="n"/>
      <c r="N735" s="43" t="n"/>
      <c r="O735" s="44" t="n"/>
      <c r="P735" s="45" t="n"/>
      <c r="Q735" s="45" t="n"/>
      <c r="S735" s="39" t="n"/>
    </row>
    <row r="736" ht="15.75" customHeight="1">
      <c r="F736" s="39" t="n"/>
      <c r="I736" s="40" t="n"/>
      <c r="J736" s="41" t="n"/>
      <c r="K736" s="41" t="n"/>
      <c r="L736" s="42" t="n"/>
      <c r="M736" s="43" t="n"/>
      <c r="N736" s="43" t="n"/>
      <c r="O736" s="44" t="n"/>
      <c r="P736" s="45" t="n"/>
      <c r="Q736" s="45" t="n"/>
      <c r="S736" s="39" t="n"/>
    </row>
    <row r="737" ht="15.75" customHeight="1">
      <c r="F737" s="39" t="n"/>
      <c r="I737" s="40" t="n"/>
      <c r="J737" s="41" t="n"/>
      <c r="K737" s="41" t="n"/>
      <c r="L737" s="42" t="n"/>
      <c r="M737" s="43" t="n"/>
      <c r="N737" s="43" t="n"/>
      <c r="O737" s="44" t="n"/>
      <c r="P737" s="45" t="n"/>
      <c r="Q737" s="45" t="n"/>
      <c r="S737" s="39" t="n"/>
    </row>
    <row r="738" ht="15.75" customHeight="1">
      <c r="F738" s="39" t="n"/>
      <c r="I738" s="40" t="n"/>
      <c r="J738" s="41" t="n"/>
      <c r="K738" s="41" t="n"/>
      <c r="L738" s="42" t="n"/>
      <c r="M738" s="43" t="n"/>
      <c r="N738" s="43" t="n"/>
      <c r="O738" s="44" t="n"/>
      <c r="P738" s="45" t="n"/>
      <c r="Q738" s="45" t="n"/>
      <c r="S738" s="39" t="n"/>
    </row>
    <row r="739" ht="15.75" customHeight="1">
      <c r="F739" s="39" t="n"/>
      <c r="I739" s="40" t="n"/>
      <c r="J739" s="41" t="n"/>
      <c r="K739" s="41" t="n"/>
      <c r="L739" s="42" t="n"/>
      <c r="M739" s="43" t="n"/>
      <c r="N739" s="43" t="n"/>
      <c r="O739" s="44" t="n"/>
      <c r="P739" s="45" t="n"/>
      <c r="Q739" s="45" t="n"/>
      <c r="S739" s="39" t="n"/>
    </row>
    <row r="740" ht="15.75" customHeight="1">
      <c r="F740" s="39" t="n"/>
      <c r="I740" s="40" t="n"/>
      <c r="J740" s="41" t="n"/>
      <c r="K740" s="41" t="n"/>
      <c r="L740" s="42" t="n"/>
      <c r="M740" s="43" t="n"/>
      <c r="N740" s="43" t="n"/>
      <c r="O740" s="44" t="n"/>
      <c r="P740" s="45" t="n"/>
      <c r="Q740" s="45" t="n"/>
      <c r="S740" s="39" t="n"/>
    </row>
    <row r="741" ht="15.75" customHeight="1">
      <c r="F741" s="39" t="n"/>
      <c r="I741" s="40" t="n"/>
      <c r="J741" s="41" t="n"/>
      <c r="K741" s="41" t="n"/>
      <c r="L741" s="42" t="n"/>
      <c r="M741" s="43" t="n"/>
      <c r="N741" s="43" t="n"/>
      <c r="O741" s="44" t="n"/>
      <c r="P741" s="45" t="n"/>
      <c r="Q741" s="45" t="n"/>
      <c r="S741" s="39" t="n"/>
    </row>
    <row r="742" ht="15.75" customHeight="1">
      <c r="F742" s="39" t="n"/>
      <c r="I742" s="40" t="n"/>
      <c r="J742" s="41" t="n"/>
      <c r="K742" s="41" t="n"/>
      <c r="L742" s="42" t="n"/>
      <c r="M742" s="43" t="n"/>
      <c r="N742" s="43" t="n"/>
      <c r="O742" s="44" t="n"/>
      <c r="P742" s="45" t="n"/>
      <c r="Q742" s="45" t="n"/>
      <c r="S742" s="39" t="n"/>
    </row>
    <row r="743" ht="15.75" customHeight="1">
      <c r="F743" s="39" t="n"/>
      <c r="I743" s="40" t="n"/>
      <c r="J743" s="41" t="n"/>
      <c r="K743" s="41" t="n"/>
      <c r="L743" s="42" t="n"/>
      <c r="M743" s="43" t="n"/>
      <c r="N743" s="43" t="n"/>
      <c r="O743" s="44" t="n"/>
      <c r="P743" s="45" t="n"/>
      <c r="Q743" s="45" t="n"/>
      <c r="S743" s="39" t="n"/>
    </row>
    <row r="744" ht="15.75" customHeight="1">
      <c r="F744" s="39" t="n"/>
      <c r="I744" s="40" t="n"/>
      <c r="J744" s="41" t="n"/>
      <c r="K744" s="41" t="n"/>
      <c r="L744" s="42" t="n"/>
      <c r="M744" s="43" t="n"/>
      <c r="N744" s="43" t="n"/>
      <c r="O744" s="44" t="n"/>
      <c r="P744" s="45" t="n"/>
      <c r="Q744" s="45" t="n"/>
      <c r="S744" s="39" t="n"/>
    </row>
    <row r="745" ht="15.75" customHeight="1">
      <c r="F745" s="39" t="n"/>
      <c r="I745" s="40" t="n"/>
      <c r="J745" s="41" t="n"/>
      <c r="K745" s="41" t="n"/>
      <c r="L745" s="42" t="n"/>
      <c r="M745" s="43" t="n"/>
      <c r="N745" s="43" t="n"/>
      <c r="O745" s="44" t="n"/>
      <c r="P745" s="45" t="n"/>
      <c r="Q745" s="45" t="n"/>
      <c r="S745" s="39" t="n"/>
    </row>
    <row r="746" ht="15.75" customHeight="1">
      <c r="F746" s="39" t="n"/>
      <c r="I746" s="40" t="n"/>
      <c r="J746" s="41" t="n"/>
      <c r="K746" s="41" t="n"/>
      <c r="L746" s="42" t="n"/>
      <c r="M746" s="43" t="n"/>
      <c r="N746" s="43" t="n"/>
      <c r="O746" s="44" t="n"/>
      <c r="P746" s="45" t="n"/>
      <c r="Q746" s="45" t="n"/>
      <c r="S746" s="39" t="n"/>
    </row>
    <row r="747" ht="15.75" customHeight="1">
      <c r="F747" s="39" t="n"/>
      <c r="I747" s="40" t="n"/>
      <c r="J747" s="41" t="n"/>
      <c r="K747" s="41" t="n"/>
      <c r="L747" s="42" t="n"/>
      <c r="M747" s="43" t="n"/>
      <c r="N747" s="43" t="n"/>
      <c r="O747" s="44" t="n"/>
      <c r="P747" s="45" t="n"/>
      <c r="Q747" s="45" t="n"/>
      <c r="S747" s="39" t="n"/>
    </row>
    <row r="748" ht="15.75" customHeight="1">
      <c r="F748" s="39" t="n"/>
      <c r="I748" s="40" t="n"/>
      <c r="J748" s="41" t="n"/>
      <c r="K748" s="41" t="n"/>
      <c r="L748" s="42" t="n"/>
      <c r="M748" s="43" t="n"/>
      <c r="N748" s="43" t="n"/>
      <c r="O748" s="44" t="n"/>
      <c r="P748" s="45" t="n"/>
      <c r="Q748" s="45" t="n"/>
      <c r="S748" s="39" t="n"/>
    </row>
    <row r="749" ht="15.75" customHeight="1">
      <c r="F749" s="39" t="n"/>
      <c r="I749" s="40" t="n"/>
      <c r="J749" s="41" t="n"/>
      <c r="K749" s="41" t="n"/>
      <c r="L749" s="42" t="n"/>
      <c r="M749" s="43" t="n"/>
      <c r="N749" s="43" t="n"/>
      <c r="O749" s="44" t="n"/>
      <c r="P749" s="45" t="n"/>
      <c r="Q749" s="45" t="n"/>
      <c r="S749" s="39" t="n"/>
    </row>
    <row r="750" ht="15.75" customHeight="1">
      <c r="F750" s="39" t="n"/>
      <c r="I750" s="40" t="n"/>
      <c r="J750" s="41" t="n"/>
      <c r="K750" s="41" t="n"/>
      <c r="L750" s="42" t="n"/>
      <c r="M750" s="43" t="n"/>
      <c r="N750" s="43" t="n"/>
      <c r="O750" s="44" t="n"/>
      <c r="P750" s="45" t="n"/>
      <c r="Q750" s="45" t="n"/>
      <c r="S750" s="39" t="n"/>
    </row>
    <row r="751" ht="15.75" customHeight="1">
      <c r="F751" s="39" t="n"/>
      <c r="I751" s="40" t="n"/>
      <c r="J751" s="41" t="n"/>
      <c r="K751" s="41" t="n"/>
      <c r="L751" s="42" t="n"/>
      <c r="M751" s="43" t="n"/>
      <c r="N751" s="43" t="n"/>
      <c r="O751" s="44" t="n"/>
      <c r="P751" s="45" t="n"/>
      <c r="Q751" s="45" t="n"/>
      <c r="S751" s="39" t="n"/>
    </row>
    <row r="752" ht="15.75" customHeight="1">
      <c r="F752" s="39" t="n"/>
      <c r="I752" s="40" t="n"/>
      <c r="J752" s="41" t="n"/>
      <c r="K752" s="41" t="n"/>
      <c r="L752" s="42" t="n"/>
      <c r="M752" s="43" t="n"/>
      <c r="N752" s="43" t="n"/>
      <c r="O752" s="44" t="n"/>
      <c r="P752" s="45" t="n"/>
      <c r="Q752" s="45" t="n"/>
      <c r="S752" s="39" t="n"/>
    </row>
    <row r="753" ht="15.75" customHeight="1">
      <c r="F753" s="39" t="n"/>
      <c r="I753" s="40" t="n"/>
      <c r="J753" s="41" t="n"/>
      <c r="K753" s="41" t="n"/>
      <c r="L753" s="42" t="n"/>
      <c r="M753" s="43" t="n"/>
      <c r="N753" s="43" t="n"/>
      <c r="O753" s="44" t="n"/>
      <c r="P753" s="45" t="n"/>
      <c r="Q753" s="45" t="n"/>
      <c r="S753" s="39" t="n"/>
    </row>
    <row r="754" ht="15.75" customHeight="1">
      <c r="F754" s="39" t="n"/>
      <c r="I754" s="40" t="n"/>
      <c r="J754" s="41" t="n"/>
      <c r="K754" s="41" t="n"/>
      <c r="L754" s="42" t="n"/>
      <c r="M754" s="43" t="n"/>
      <c r="N754" s="43" t="n"/>
      <c r="O754" s="44" t="n"/>
      <c r="P754" s="45" t="n"/>
      <c r="Q754" s="45" t="n"/>
      <c r="S754" s="39" t="n"/>
    </row>
    <row r="755" ht="15.75" customHeight="1">
      <c r="F755" s="39" t="n"/>
      <c r="I755" s="40" t="n"/>
      <c r="J755" s="41" t="n"/>
      <c r="K755" s="41" t="n"/>
      <c r="L755" s="42" t="n"/>
      <c r="M755" s="43" t="n"/>
      <c r="N755" s="43" t="n"/>
      <c r="O755" s="44" t="n"/>
      <c r="P755" s="45" t="n"/>
      <c r="Q755" s="45" t="n"/>
      <c r="S755" s="39" t="n"/>
    </row>
    <row r="756" ht="15.75" customHeight="1">
      <c r="F756" s="39" t="n"/>
      <c r="I756" s="40" t="n"/>
      <c r="J756" s="41" t="n"/>
      <c r="K756" s="41" t="n"/>
      <c r="L756" s="42" t="n"/>
      <c r="M756" s="43" t="n"/>
      <c r="N756" s="43" t="n"/>
      <c r="O756" s="44" t="n"/>
      <c r="P756" s="45" t="n"/>
      <c r="Q756" s="45" t="n"/>
      <c r="S756" s="39" t="n"/>
    </row>
    <row r="757" ht="15.75" customHeight="1">
      <c r="F757" s="39" t="n"/>
      <c r="I757" s="40" t="n"/>
      <c r="J757" s="41" t="n"/>
      <c r="K757" s="41" t="n"/>
      <c r="L757" s="42" t="n"/>
      <c r="M757" s="43" t="n"/>
      <c r="N757" s="43" t="n"/>
      <c r="O757" s="44" t="n"/>
      <c r="P757" s="45" t="n"/>
      <c r="Q757" s="45" t="n"/>
      <c r="S757" s="39" t="n"/>
    </row>
    <row r="758" ht="15.75" customHeight="1">
      <c r="F758" s="39" t="n"/>
      <c r="I758" s="40" t="n"/>
      <c r="J758" s="41" t="n"/>
      <c r="K758" s="41" t="n"/>
      <c r="L758" s="42" t="n"/>
      <c r="M758" s="43" t="n"/>
      <c r="N758" s="43" t="n"/>
      <c r="O758" s="44" t="n"/>
      <c r="P758" s="45" t="n"/>
      <c r="Q758" s="45" t="n"/>
      <c r="S758" s="39" t="n"/>
    </row>
    <row r="759" ht="15.75" customHeight="1">
      <c r="F759" s="39" t="n"/>
      <c r="I759" s="40" t="n"/>
      <c r="J759" s="41" t="n"/>
      <c r="K759" s="41" t="n"/>
      <c r="L759" s="42" t="n"/>
      <c r="M759" s="43" t="n"/>
      <c r="N759" s="43" t="n"/>
      <c r="O759" s="44" t="n"/>
      <c r="P759" s="45" t="n"/>
      <c r="Q759" s="45" t="n"/>
      <c r="S759" s="39" t="n"/>
    </row>
    <row r="760" ht="15.75" customHeight="1">
      <c r="F760" s="39" t="n"/>
      <c r="I760" s="40" t="n"/>
      <c r="J760" s="41" t="n"/>
      <c r="K760" s="41" t="n"/>
      <c r="L760" s="42" t="n"/>
      <c r="M760" s="43" t="n"/>
      <c r="N760" s="43" t="n"/>
      <c r="O760" s="44" t="n"/>
      <c r="P760" s="45" t="n"/>
      <c r="Q760" s="45" t="n"/>
      <c r="S760" s="39" t="n"/>
    </row>
    <row r="761" ht="15.75" customHeight="1">
      <c r="F761" s="39" t="n"/>
      <c r="I761" s="40" t="n"/>
      <c r="J761" s="41" t="n"/>
      <c r="K761" s="41" t="n"/>
      <c r="L761" s="42" t="n"/>
      <c r="M761" s="43" t="n"/>
      <c r="N761" s="43" t="n"/>
      <c r="O761" s="44" t="n"/>
      <c r="P761" s="45" t="n"/>
      <c r="Q761" s="45" t="n"/>
      <c r="S761" s="39" t="n"/>
    </row>
    <row r="762" ht="15.75" customHeight="1">
      <c r="F762" s="39" t="n"/>
      <c r="I762" s="40" t="n"/>
      <c r="J762" s="41" t="n"/>
      <c r="K762" s="41" t="n"/>
      <c r="L762" s="42" t="n"/>
      <c r="M762" s="43" t="n"/>
      <c r="N762" s="43" t="n"/>
      <c r="O762" s="44" t="n"/>
      <c r="P762" s="45" t="n"/>
      <c r="Q762" s="45" t="n"/>
      <c r="S762" s="39" t="n"/>
    </row>
    <row r="763" ht="15.75" customHeight="1">
      <c r="F763" s="39" t="n"/>
      <c r="I763" s="40" t="n"/>
      <c r="J763" s="41" t="n"/>
      <c r="K763" s="41" t="n"/>
      <c r="L763" s="42" t="n"/>
      <c r="M763" s="43" t="n"/>
      <c r="N763" s="43" t="n"/>
      <c r="O763" s="44" t="n"/>
      <c r="P763" s="45" t="n"/>
      <c r="Q763" s="45" t="n"/>
      <c r="S763" s="39" t="n"/>
    </row>
    <row r="764" ht="15.75" customHeight="1">
      <c r="F764" s="39" t="n"/>
      <c r="I764" s="40" t="n"/>
      <c r="J764" s="41" t="n"/>
      <c r="K764" s="41" t="n"/>
      <c r="L764" s="42" t="n"/>
      <c r="M764" s="43" t="n"/>
      <c r="N764" s="43" t="n"/>
      <c r="O764" s="44" t="n"/>
      <c r="P764" s="45" t="n"/>
      <c r="Q764" s="45" t="n"/>
      <c r="S764" s="39" t="n"/>
    </row>
    <row r="765" ht="15.75" customHeight="1">
      <c r="F765" s="39" t="n"/>
      <c r="I765" s="40" t="n"/>
      <c r="J765" s="41" t="n"/>
      <c r="K765" s="41" t="n"/>
      <c r="L765" s="42" t="n"/>
      <c r="M765" s="43" t="n"/>
      <c r="N765" s="43" t="n"/>
      <c r="O765" s="44" t="n"/>
      <c r="P765" s="45" t="n"/>
      <c r="Q765" s="45" t="n"/>
      <c r="S765" s="39" t="n"/>
    </row>
    <row r="766" ht="15.75" customHeight="1">
      <c r="F766" s="39" t="n"/>
      <c r="I766" s="40" t="n"/>
      <c r="J766" s="41" t="n"/>
      <c r="K766" s="41" t="n"/>
      <c r="L766" s="42" t="n"/>
      <c r="M766" s="43" t="n"/>
      <c r="N766" s="43" t="n"/>
      <c r="O766" s="44" t="n"/>
      <c r="P766" s="45" t="n"/>
      <c r="Q766" s="45" t="n"/>
      <c r="S766" s="39" t="n"/>
    </row>
    <row r="767" ht="15.75" customHeight="1">
      <c r="F767" s="39" t="n"/>
      <c r="I767" s="40" t="n"/>
      <c r="J767" s="41" t="n"/>
      <c r="K767" s="41" t="n"/>
      <c r="L767" s="42" t="n"/>
      <c r="M767" s="43" t="n"/>
      <c r="N767" s="43" t="n"/>
      <c r="O767" s="44" t="n"/>
      <c r="P767" s="45" t="n"/>
      <c r="Q767" s="45" t="n"/>
      <c r="S767" s="39" t="n"/>
    </row>
    <row r="768" ht="15.75" customHeight="1">
      <c r="F768" s="39" t="n"/>
      <c r="I768" s="40" t="n"/>
      <c r="J768" s="41" t="n"/>
      <c r="K768" s="41" t="n"/>
      <c r="L768" s="42" t="n"/>
      <c r="M768" s="43" t="n"/>
      <c r="N768" s="43" t="n"/>
      <c r="O768" s="44" t="n"/>
      <c r="P768" s="45" t="n"/>
      <c r="Q768" s="45" t="n"/>
      <c r="S768" s="39" t="n"/>
    </row>
    <row r="769" ht="15.75" customHeight="1">
      <c r="F769" s="39" t="n"/>
      <c r="I769" s="40" t="n"/>
      <c r="J769" s="41" t="n"/>
      <c r="K769" s="41" t="n"/>
      <c r="L769" s="42" t="n"/>
      <c r="M769" s="43" t="n"/>
      <c r="N769" s="43" t="n"/>
      <c r="O769" s="44" t="n"/>
      <c r="P769" s="45" t="n"/>
      <c r="Q769" s="45" t="n"/>
      <c r="S769" s="39" t="n"/>
    </row>
    <row r="770" ht="15.75" customHeight="1">
      <c r="F770" s="39" t="n"/>
      <c r="I770" s="40" t="n"/>
      <c r="J770" s="41" t="n"/>
      <c r="K770" s="41" t="n"/>
      <c r="L770" s="42" t="n"/>
      <c r="M770" s="43" t="n"/>
      <c r="N770" s="43" t="n"/>
      <c r="O770" s="44" t="n"/>
      <c r="P770" s="45" t="n"/>
      <c r="Q770" s="45" t="n"/>
      <c r="S770" s="39" t="n"/>
    </row>
    <row r="771" ht="15.75" customHeight="1">
      <c r="F771" s="39" t="n"/>
      <c r="I771" s="40" t="n"/>
      <c r="J771" s="41" t="n"/>
      <c r="K771" s="41" t="n"/>
      <c r="L771" s="42" t="n"/>
      <c r="M771" s="43" t="n"/>
      <c r="N771" s="43" t="n"/>
      <c r="O771" s="44" t="n"/>
      <c r="P771" s="45" t="n"/>
      <c r="Q771" s="45" t="n"/>
      <c r="S771" s="39" t="n"/>
    </row>
    <row r="772" ht="15.75" customHeight="1">
      <c r="F772" s="39" t="n"/>
      <c r="I772" s="40" t="n"/>
      <c r="J772" s="41" t="n"/>
      <c r="K772" s="41" t="n"/>
      <c r="L772" s="42" t="n"/>
      <c r="M772" s="43" t="n"/>
      <c r="N772" s="43" t="n"/>
      <c r="O772" s="44" t="n"/>
      <c r="P772" s="45" t="n"/>
      <c r="Q772" s="45" t="n"/>
      <c r="S772" s="39" t="n"/>
    </row>
    <row r="773" ht="15.75" customHeight="1">
      <c r="F773" s="39" t="n"/>
      <c r="I773" s="40" t="n"/>
      <c r="J773" s="41" t="n"/>
      <c r="K773" s="41" t="n"/>
      <c r="L773" s="42" t="n"/>
      <c r="M773" s="43" t="n"/>
      <c r="N773" s="43" t="n"/>
      <c r="O773" s="44" t="n"/>
      <c r="P773" s="45" t="n"/>
      <c r="Q773" s="45" t="n"/>
      <c r="S773" s="39" t="n"/>
    </row>
    <row r="774" ht="15.75" customHeight="1">
      <c r="F774" s="39" t="n"/>
      <c r="I774" s="40" t="n"/>
      <c r="J774" s="41" t="n"/>
      <c r="K774" s="41" t="n"/>
      <c r="L774" s="42" t="n"/>
      <c r="M774" s="43" t="n"/>
      <c r="N774" s="43" t="n"/>
      <c r="O774" s="44" t="n"/>
      <c r="P774" s="45" t="n"/>
      <c r="Q774" s="45" t="n"/>
      <c r="S774" s="39" t="n"/>
    </row>
    <row r="775" ht="15.75" customHeight="1">
      <c r="F775" s="39" t="n"/>
      <c r="I775" s="40" t="n"/>
      <c r="J775" s="41" t="n"/>
      <c r="K775" s="41" t="n"/>
      <c r="L775" s="42" t="n"/>
      <c r="M775" s="43" t="n"/>
      <c r="N775" s="43" t="n"/>
      <c r="O775" s="44" t="n"/>
      <c r="P775" s="45" t="n"/>
      <c r="Q775" s="45" t="n"/>
      <c r="S775" s="39" t="n"/>
    </row>
    <row r="776" ht="15.75" customHeight="1">
      <c r="F776" s="39" t="n"/>
      <c r="I776" s="40" t="n"/>
      <c r="J776" s="41" t="n"/>
      <c r="K776" s="41" t="n"/>
      <c r="L776" s="42" t="n"/>
      <c r="M776" s="43" t="n"/>
      <c r="N776" s="43" t="n"/>
      <c r="O776" s="44" t="n"/>
      <c r="P776" s="45" t="n"/>
      <c r="Q776" s="45" t="n"/>
      <c r="S776" s="39" t="n"/>
    </row>
    <row r="777" ht="15.75" customHeight="1">
      <c r="F777" s="39" t="n"/>
      <c r="I777" s="40" t="n"/>
      <c r="J777" s="41" t="n"/>
      <c r="K777" s="41" t="n"/>
      <c r="L777" s="42" t="n"/>
      <c r="M777" s="43" t="n"/>
      <c r="N777" s="43" t="n"/>
      <c r="O777" s="44" t="n"/>
      <c r="P777" s="45" t="n"/>
      <c r="Q777" s="45" t="n"/>
      <c r="S777" s="39" t="n"/>
    </row>
    <row r="778" ht="15.75" customHeight="1">
      <c r="F778" s="39" t="n"/>
      <c r="I778" s="40" t="n"/>
      <c r="J778" s="41" t="n"/>
      <c r="K778" s="41" t="n"/>
      <c r="L778" s="42" t="n"/>
      <c r="M778" s="43" t="n"/>
      <c r="N778" s="43" t="n"/>
      <c r="O778" s="44" t="n"/>
      <c r="P778" s="45" t="n"/>
      <c r="Q778" s="45" t="n"/>
      <c r="S778" s="39" t="n"/>
    </row>
    <row r="779" ht="15.75" customHeight="1">
      <c r="F779" s="39" t="n"/>
      <c r="I779" s="40" t="n"/>
      <c r="J779" s="41" t="n"/>
      <c r="K779" s="41" t="n"/>
      <c r="L779" s="42" t="n"/>
      <c r="M779" s="43" t="n"/>
      <c r="N779" s="43" t="n"/>
      <c r="O779" s="44" t="n"/>
      <c r="P779" s="45" t="n"/>
      <c r="Q779" s="45" t="n"/>
      <c r="S779" s="39" t="n"/>
    </row>
    <row r="780" ht="15.75" customHeight="1">
      <c r="F780" s="39" t="n"/>
      <c r="I780" s="40" t="n"/>
      <c r="J780" s="41" t="n"/>
      <c r="K780" s="41" t="n"/>
      <c r="L780" s="42" t="n"/>
      <c r="M780" s="43" t="n"/>
      <c r="N780" s="43" t="n"/>
      <c r="O780" s="44" t="n"/>
      <c r="P780" s="45" t="n"/>
      <c r="Q780" s="45" t="n"/>
      <c r="S780" s="39" t="n"/>
    </row>
    <row r="781" ht="15.75" customHeight="1">
      <c r="F781" s="39" t="n"/>
      <c r="I781" s="40" t="n"/>
      <c r="J781" s="41" t="n"/>
      <c r="K781" s="41" t="n"/>
      <c r="L781" s="42" t="n"/>
      <c r="M781" s="43" t="n"/>
      <c r="N781" s="43" t="n"/>
      <c r="O781" s="44" t="n"/>
      <c r="P781" s="45" t="n"/>
      <c r="Q781" s="45" t="n"/>
      <c r="S781" s="39" t="n"/>
    </row>
    <row r="782" ht="15.75" customHeight="1">
      <c r="F782" s="39" t="n"/>
      <c r="I782" s="40" t="n"/>
      <c r="J782" s="41" t="n"/>
      <c r="K782" s="41" t="n"/>
      <c r="L782" s="42" t="n"/>
      <c r="M782" s="43" t="n"/>
      <c r="N782" s="43" t="n"/>
      <c r="O782" s="44" t="n"/>
      <c r="P782" s="45" t="n"/>
      <c r="Q782" s="45" t="n"/>
      <c r="S782" s="39" t="n"/>
    </row>
    <row r="783" ht="15.75" customHeight="1">
      <c r="F783" s="39" t="n"/>
      <c r="I783" s="40" t="n"/>
      <c r="J783" s="41" t="n"/>
      <c r="K783" s="41" t="n"/>
      <c r="L783" s="42" t="n"/>
      <c r="M783" s="43" t="n"/>
      <c r="N783" s="43" t="n"/>
      <c r="O783" s="44" t="n"/>
      <c r="P783" s="45" t="n"/>
      <c r="Q783" s="45" t="n"/>
      <c r="S783" s="39" t="n"/>
    </row>
    <row r="784" ht="15.75" customHeight="1">
      <c r="F784" s="39" t="n"/>
      <c r="I784" s="40" t="n"/>
      <c r="J784" s="41" t="n"/>
      <c r="K784" s="41" t="n"/>
      <c r="L784" s="42" t="n"/>
      <c r="M784" s="43" t="n"/>
      <c r="N784" s="43" t="n"/>
      <c r="O784" s="44" t="n"/>
      <c r="P784" s="45" t="n"/>
      <c r="Q784" s="45" t="n"/>
      <c r="S784" s="39" t="n"/>
    </row>
    <row r="785" ht="15.75" customHeight="1">
      <c r="F785" s="39" t="n"/>
      <c r="I785" s="40" t="n"/>
      <c r="J785" s="41" t="n"/>
      <c r="K785" s="41" t="n"/>
      <c r="L785" s="42" t="n"/>
      <c r="M785" s="43" t="n"/>
      <c r="N785" s="43" t="n"/>
      <c r="O785" s="44" t="n"/>
      <c r="P785" s="45" t="n"/>
      <c r="Q785" s="45" t="n"/>
      <c r="S785" s="39" t="n"/>
    </row>
    <row r="786" ht="15.75" customHeight="1">
      <c r="F786" s="39" t="n"/>
      <c r="I786" s="40" t="n"/>
      <c r="J786" s="41" t="n"/>
      <c r="K786" s="41" t="n"/>
      <c r="L786" s="42" t="n"/>
      <c r="M786" s="43" t="n"/>
      <c r="N786" s="43" t="n"/>
      <c r="O786" s="44" t="n"/>
      <c r="P786" s="45" t="n"/>
      <c r="Q786" s="45" t="n"/>
      <c r="S786" s="39" t="n"/>
    </row>
    <row r="787" ht="15.75" customHeight="1">
      <c r="F787" s="39" t="n"/>
      <c r="I787" s="40" t="n"/>
      <c r="J787" s="41" t="n"/>
      <c r="K787" s="41" t="n"/>
      <c r="L787" s="42" t="n"/>
      <c r="M787" s="43" t="n"/>
      <c r="N787" s="43" t="n"/>
      <c r="O787" s="44" t="n"/>
      <c r="P787" s="45" t="n"/>
      <c r="Q787" s="45" t="n"/>
      <c r="S787" s="39" t="n"/>
    </row>
    <row r="788" ht="15.75" customHeight="1">
      <c r="F788" s="39" t="n"/>
      <c r="I788" s="40" t="n"/>
      <c r="J788" s="41" t="n"/>
      <c r="K788" s="41" t="n"/>
      <c r="L788" s="42" t="n"/>
      <c r="M788" s="43" t="n"/>
      <c r="N788" s="43" t="n"/>
      <c r="O788" s="44" t="n"/>
      <c r="P788" s="45" t="n"/>
      <c r="Q788" s="45" t="n"/>
      <c r="S788" s="39" t="n"/>
    </row>
    <row r="789" ht="15.75" customHeight="1">
      <c r="F789" s="39" t="n"/>
      <c r="I789" s="40" t="n"/>
      <c r="J789" s="41" t="n"/>
      <c r="K789" s="41" t="n"/>
      <c r="L789" s="42" t="n"/>
      <c r="M789" s="43" t="n"/>
      <c r="N789" s="43" t="n"/>
      <c r="O789" s="44" t="n"/>
      <c r="P789" s="45" t="n"/>
      <c r="Q789" s="45" t="n"/>
      <c r="S789" s="39" t="n"/>
    </row>
    <row r="790" ht="15.75" customHeight="1">
      <c r="F790" s="39" t="n"/>
      <c r="I790" s="40" t="n"/>
      <c r="J790" s="41" t="n"/>
      <c r="K790" s="41" t="n"/>
      <c r="L790" s="42" t="n"/>
      <c r="M790" s="43" t="n"/>
      <c r="N790" s="43" t="n"/>
      <c r="O790" s="44" t="n"/>
      <c r="P790" s="45" t="n"/>
      <c r="Q790" s="45" t="n"/>
      <c r="S790" s="39" t="n"/>
    </row>
    <row r="791" ht="15.75" customHeight="1">
      <c r="F791" s="39" t="n"/>
      <c r="I791" s="40" t="n"/>
      <c r="J791" s="41" t="n"/>
      <c r="K791" s="41" t="n"/>
      <c r="L791" s="42" t="n"/>
      <c r="M791" s="43" t="n"/>
      <c r="N791" s="43" t="n"/>
      <c r="O791" s="44" t="n"/>
      <c r="P791" s="45" t="n"/>
      <c r="Q791" s="45" t="n"/>
      <c r="S791" s="39" t="n"/>
    </row>
    <row r="792" ht="15.75" customHeight="1">
      <c r="F792" s="39" t="n"/>
      <c r="I792" s="40" t="n"/>
      <c r="J792" s="41" t="n"/>
      <c r="K792" s="41" t="n"/>
      <c r="L792" s="42" t="n"/>
      <c r="M792" s="43" t="n"/>
      <c r="N792" s="43" t="n"/>
      <c r="O792" s="44" t="n"/>
      <c r="P792" s="45" t="n"/>
      <c r="Q792" s="45" t="n"/>
      <c r="S792" s="39" t="n"/>
    </row>
    <row r="793" ht="15.75" customHeight="1">
      <c r="F793" s="39" t="n"/>
      <c r="I793" s="40" t="n"/>
      <c r="J793" s="41" t="n"/>
      <c r="K793" s="41" t="n"/>
      <c r="L793" s="42" t="n"/>
      <c r="M793" s="43" t="n"/>
      <c r="N793" s="43" t="n"/>
      <c r="O793" s="44" t="n"/>
      <c r="P793" s="45" t="n"/>
      <c r="Q793" s="45" t="n"/>
      <c r="S793" s="39" t="n"/>
    </row>
    <row r="794" ht="15.75" customHeight="1">
      <c r="F794" s="39" t="n"/>
      <c r="I794" s="40" t="n"/>
      <c r="J794" s="41" t="n"/>
      <c r="K794" s="41" t="n"/>
      <c r="L794" s="42" t="n"/>
      <c r="M794" s="43" t="n"/>
      <c r="N794" s="43" t="n"/>
      <c r="O794" s="44" t="n"/>
      <c r="P794" s="45" t="n"/>
      <c r="Q794" s="45" t="n"/>
      <c r="S794" s="39" t="n"/>
    </row>
    <row r="795" ht="15.75" customHeight="1">
      <c r="F795" s="39" t="n"/>
      <c r="I795" s="40" t="n"/>
      <c r="J795" s="41" t="n"/>
      <c r="K795" s="41" t="n"/>
      <c r="L795" s="42" t="n"/>
      <c r="M795" s="43" t="n"/>
      <c r="N795" s="43" t="n"/>
      <c r="O795" s="44" t="n"/>
      <c r="P795" s="45" t="n"/>
      <c r="Q795" s="45" t="n"/>
      <c r="S795" s="39" t="n"/>
    </row>
    <row r="796" ht="15.75" customHeight="1">
      <c r="F796" s="39" t="n"/>
      <c r="I796" s="40" t="n"/>
      <c r="J796" s="41" t="n"/>
      <c r="K796" s="41" t="n"/>
      <c r="L796" s="42" t="n"/>
      <c r="M796" s="43" t="n"/>
      <c r="N796" s="43" t="n"/>
      <c r="O796" s="44" t="n"/>
      <c r="P796" s="45" t="n"/>
      <c r="Q796" s="45" t="n"/>
      <c r="S796" s="39" t="n"/>
    </row>
    <row r="797" ht="15.75" customHeight="1">
      <c r="F797" s="39" t="n"/>
      <c r="I797" s="40" t="n"/>
      <c r="J797" s="41" t="n"/>
      <c r="K797" s="41" t="n"/>
      <c r="L797" s="42" t="n"/>
      <c r="M797" s="43" t="n"/>
      <c r="N797" s="43" t="n"/>
      <c r="O797" s="44" t="n"/>
      <c r="P797" s="45" t="n"/>
      <c r="Q797" s="45" t="n"/>
      <c r="S797" s="39" t="n"/>
    </row>
    <row r="798" ht="15.75" customHeight="1">
      <c r="F798" s="39" t="n"/>
      <c r="I798" s="40" t="n"/>
      <c r="J798" s="41" t="n"/>
      <c r="K798" s="41" t="n"/>
      <c r="L798" s="42" t="n"/>
      <c r="M798" s="43" t="n"/>
      <c r="N798" s="43" t="n"/>
      <c r="O798" s="44" t="n"/>
      <c r="P798" s="45" t="n"/>
      <c r="Q798" s="45" t="n"/>
      <c r="S798" s="39" t="n"/>
    </row>
    <row r="799" ht="15.75" customHeight="1">
      <c r="F799" s="39" t="n"/>
      <c r="I799" s="40" t="n"/>
      <c r="J799" s="41" t="n"/>
      <c r="K799" s="41" t="n"/>
      <c r="L799" s="42" t="n"/>
      <c r="M799" s="43" t="n"/>
      <c r="N799" s="43" t="n"/>
      <c r="O799" s="44" t="n"/>
      <c r="P799" s="45" t="n"/>
      <c r="Q799" s="45" t="n"/>
      <c r="S799" s="39" t="n"/>
    </row>
    <row r="800" ht="15.75" customHeight="1">
      <c r="F800" s="39" t="n"/>
      <c r="I800" s="40" t="n"/>
      <c r="J800" s="41" t="n"/>
      <c r="K800" s="41" t="n"/>
      <c r="L800" s="42" t="n"/>
      <c r="M800" s="43" t="n"/>
      <c r="N800" s="43" t="n"/>
      <c r="O800" s="44" t="n"/>
      <c r="P800" s="45" t="n"/>
      <c r="Q800" s="45" t="n"/>
      <c r="S800" s="39" t="n"/>
    </row>
    <row r="801" ht="15.75" customHeight="1">
      <c r="F801" s="39" t="n"/>
      <c r="I801" s="40" t="n"/>
      <c r="J801" s="41" t="n"/>
      <c r="K801" s="41" t="n"/>
      <c r="L801" s="42" t="n"/>
      <c r="M801" s="43" t="n"/>
      <c r="N801" s="43" t="n"/>
      <c r="O801" s="44" t="n"/>
      <c r="P801" s="45" t="n"/>
      <c r="Q801" s="45" t="n"/>
      <c r="S801" s="39" t="n"/>
    </row>
    <row r="802" ht="15.75" customHeight="1">
      <c r="F802" s="39" t="n"/>
      <c r="I802" s="40" t="n"/>
      <c r="J802" s="41" t="n"/>
      <c r="K802" s="41" t="n"/>
      <c r="L802" s="42" t="n"/>
      <c r="M802" s="43" t="n"/>
      <c r="N802" s="43" t="n"/>
      <c r="O802" s="44" t="n"/>
      <c r="P802" s="45" t="n"/>
      <c r="Q802" s="45" t="n"/>
      <c r="S802" s="39" t="n"/>
    </row>
    <row r="803" ht="15.75" customHeight="1">
      <c r="F803" s="39" t="n"/>
      <c r="I803" s="40" t="n"/>
      <c r="J803" s="41" t="n"/>
      <c r="K803" s="41" t="n"/>
      <c r="L803" s="42" t="n"/>
      <c r="M803" s="43" t="n"/>
      <c r="N803" s="43" t="n"/>
      <c r="O803" s="44" t="n"/>
      <c r="P803" s="45" t="n"/>
      <c r="Q803" s="45" t="n"/>
      <c r="S803" s="39" t="n"/>
    </row>
    <row r="804" ht="15.75" customHeight="1">
      <c r="F804" s="39" t="n"/>
      <c r="I804" s="40" t="n"/>
      <c r="J804" s="41" t="n"/>
      <c r="K804" s="41" t="n"/>
      <c r="L804" s="42" t="n"/>
      <c r="M804" s="43" t="n"/>
      <c r="N804" s="43" t="n"/>
      <c r="O804" s="44" t="n"/>
      <c r="P804" s="45" t="n"/>
      <c r="Q804" s="45" t="n"/>
      <c r="S804" s="39" t="n"/>
    </row>
    <row r="805" ht="15.75" customHeight="1">
      <c r="F805" s="39" t="n"/>
      <c r="I805" s="40" t="n"/>
      <c r="J805" s="41" t="n"/>
      <c r="K805" s="41" t="n"/>
      <c r="L805" s="42" t="n"/>
      <c r="M805" s="43" t="n"/>
      <c r="N805" s="43" t="n"/>
      <c r="O805" s="44" t="n"/>
      <c r="P805" s="45" t="n"/>
      <c r="Q805" s="45" t="n"/>
      <c r="S805" s="39" t="n"/>
    </row>
    <row r="806" ht="15.75" customHeight="1">
      <c r="F806" s="39" t="n"/>
      <c r="I806" s="40" t="n"/>
      <c r="J806" s="41" t="n"/>
      <c r="K806" s="41" t="n"/>
      <c r="L806" s="42" t="n"/>
      <c r="M806" s="43" t="n"/>
      <c r="N806" s="43" t="n"/>
      <c r="O806" s="44" t="n"/>
      <c r="P806" s="45" t="n"/>
      <c r="Q806" s="45" t="n"/>
      <c r="S806" s="39" t="n"/>
    </row>
    <row r="807" ht="15.75" customHeight="1">
      <c r="F807" s="39" t="n"/>
      <c r="I807" s="40" t="n"/>
      <c r="J807" s="41" t="n"/>
      <c r="K807" s="41" t="n"/>
      <c r="L807" s="42" t="n"/>
      <c r="M807" s="43" t="n"/>
      <c r="N807" s="43" t="n"/>
      <c r="O807" s="44" t="n"/>
      <c r="P807" s="45" t="n"/>
      <c r="Q807" s="45" t="n"/>
      <c r="S807" s="39" t="n"/>
    </row>
    <row r="808" ht="15.75" customHeight="1">
      <c r="F808" s="39" t="n"/>
      <c r="I808" s="40" t="n"/>
      <c r="J808" s="41" t="n"/>
      <c r="K808" s="41" t="n"/>
      <c r="L808" s="42" t="n"/>
      <c r="M808" s="43" t="n"/>
      <c r="N808" s="43" t="n"/>
      <c r="O808" s="44" t="n"/>
      <c r="P808" s="45" t="n"/>
      <c r="Q808" s="45" t="n"/>
      <c r="S808" s="39" t="n"/>
    </row>
    <row r="809" ht="15.75" customHeight="1">
      <c r="F809" s="39" t="n"/>
      <c r="I809" s="40" t="n"/>
      <c r="J809" s="41" t="n"/>
      <c r="K809" s="41" t="n"/>
      <c r="L809" s="42" t="n"/>
      <c r="M809" s="43" t="n"/>
      <c r="N809" s="43" t="n"/>
      <c r="O809" s="44" t="n"/>
      <c r="P809" s="45" t="n"/>
      <c r="Q809" s="45" t="n"/>
      <c r="S809" s="39" t="n"/>
    </row>
    <row r="810" ht="15.75" customHeight="1">
      <c r="F810" s="39" t="n"/>
      <c r="I810" s="40" t="n"/>
      <c r="J810" s="41" t="n"/>
      <c r="K810" s="41" t="n"/>
      <c r="L810" s="42" t="n"/>
      <c r="M810" s="43" t="n"/>
      <c r="N810" s="43" t="n"/>
      <c r="O810" s="44" t="n"/>
      <c r="P810" s="45" t="n"/>
      <c r="Q810" s="45" t="n"/>
      <c r="S810" s="39" t="n"/>
    </row>
    <row r="811" ht="15.75" customHeight="1">
      <c r="F811" s="39" t="n"/>
      <c r="I811" s="40" t="n"/>
      <c r="J811" s="41" t="n"/>
      <c r="K811" s="41" t="n"/>
      <c r="L811" s="42" t="n"/>
      <c r="M811" s="43" t="n"/>
      <c r="N811" s="43" t="n"/>
      <c r="O811" s="44" t="n"/>
      <c r="P811" s="45" t="n"/>
      <c r="Q811" s="45" t="n"/>
      <c r="S811" s="39" t="n"/>
    </row>
    <row r="812" ht="15.75" customHeight="1">
      <c r="F812" s="39" t="n"/>
      <c r="I812" s="40" t="n"/>
      <c r="J812" s="41" t="n"/>
      <c r="K812" s="41" t="n"/>
      <c r="L812" s="42" t="n"/>
      <c r="M812" s="43" t="n"/>
      <c r="N812" s="43" t="n"/>
      <c r="O812" s="44" t="n"/>
      <c r="P812" s="45" t="n"/>
      <c r="Q812" s="45" t="n"/>
      <c r="S812" s="39" t="n"/>
    </row>
    <row r="813" ht="15.75" customHeight="1">
      <c r="F813" s="39" t="n"/>
      <c r="I813" s="40" t="n"/>
      <c r="J813" s="41" t="n"/>
      <c r="K813" s="41" t="n"/>
      <c r="L813" s="42" t="n"/>
      <c r="M813" s="43" t="n"/>
      <c r="N813" s="43" t="n"/>
      <c r="O813" s="44" t="n"/>
      <c r="P813" s="45" t="n"/>
      <c r="Q813" s="45" t="n"/>
      <c r="S813" s="39" t="n"/>
    </row>
    <row r="814" ht="15.75" customHeight="1">
      <c r="F814" s="39" t="n"/>
      <c r="I814" s="40" t="n"/>
      <c r="J814" s="41" t="n"/>
      <c r="K814" s="41" t="n"/>
      <c r="L814" s="42" t="n"/>
      <c r="M814" s="43" t="n"/>
      <c r="N814" s="43" t="n"/>
      <c r="O814" s="44" t="n"/>
      <c r="P814" s="45" t="n"/>
      <c r="Q814" s="45" t="n"/>
      <c r="S814" s="39" t="n"/>
    </row>
    <row r="815" ht="15.75" customHeight="1">
      <c r="F815" s="39" t="n"/>
      <c r="I815" s="40" t="n"/>
      <c r="J815" s="41" t="n"/>
      <c r="K815" s="41" t="n"/>
      <c r="L815" s="42" t="n"/>
      <c r="M815" s="43" t="n"/>
      <c r="N815" s="43" t="n"/>
      <c r="O815" s="44" t="n"/>
      <c r="P815" s="45" t="n"/>
      <c r="Q815" s="45" t="n"/>
      <c r="S815" s="39" t="n"/>
    </row>
    <row r="816" ht="15.75" customHeight="1">
      <c r="F816" s="39" t="n"/>
      <c r="I816" s="40" t="n"/>
      <c r="J816" s="41" t="n"/>
      <c r="K816" s="41" t="n"/>
      <c r="L816" s="42" t="n"/>
      <c r="M816" s="43" t="n"/>
      <c r="N816" s="43" t="n"/>
      <c r="O816" s="44" t="n"/>
      <c r="P816" s="45" t="n"/>
      <c r="Q816" s="45" t="n"/>
      <c r="S816" s="39" t="n"/>
    </row>
    <row r="817" ht="15.75" customHeight="1">
      <c r="F817" s="39" t="n"/>
      <c r="I817" s="40" t="n"/>
      <c r="J817" s="41" t="n"/>
      <c r="K817" s="41" t="n"/>
      <c r="L817" s="42" t="n"/>
      <c r="M817" s="43" t="n"/>
      <c r="N817" s="43" t="n"/>
      <c r="O817" s="44" t="n"/>
      <c r="P817" s="45" t="n"/>
      <c r="Q817" s="45" t="n"/>
      <c r="S817" s="39" t="n"/>
    </row>
    <row r="818" ht="15.75" customHeight="1">
      <c r="F818" s="39" t="n"/>
      <c r="I818" s="40" t="n"/>
      <c r="J818" s="41" t="n"/>
      <c r="K818" s="41" t="n"/>
      <c r="L818" s="42" t="n"/>
      <c r="M818" s="43" t="n"/>
      <c r="N818" s="43" t="n"/>
      <c r="O818" s="44" t="n"/>
      <c r="P818" s="45" t="n"/>
      <c r="Q818" s="45" t="n"/>
      <c r="S818" s="39" t="n"/>
    </row>
    <row r="819" ht="15.75" customHeight="1">
      <c r="F819" s="39" t="n"/>
      <c r="I819" s="40" t="n"/>
      <c r="J819" s="41" t="n"/>
      <c r="K819" s="41" t="n"/>
      <c r="L819" s="42" t="n"/>
      <c r="M819" s="43" t="n"/>
      <c r="N819" s="43" t="n"/>
      <c r="O819" s="44" t="n"/>
      <c r="P819" s="45" t="n"/>
      <c r="Q819" s="45" t="n"/>
      <c r="S819" s="39" t="n"/>
    </row>
    <row r="820" ht="15.75" customHeight="1">
      <c r="F820" s="39" t="n"/>
      <c r="I820" s="40" t="n"/>
      <c r="J820" s="41" t="n"/>
      <c r="K820" s="41" t="n"/>
      <c r="L820" s="42" t="n"/>
      <c r="M820" s="43" t="n"/>
      <c r="N820" s="43" t="n"/>
      <c r="O820" s="44" t="n"/>
      <c r="P820" s="45" t="n"/>
      <c r="Q820" s="45" t="n"/>
      <c r="S820" s="39" t="n"/>
    </row>
    <row r="821" ht="15.75" customHeight="1">
      <c r="F821" s="39" t="n"/>
      <c r="I821" s="40" t="n"/>
      <c r="J821" s="41" t="n"/>
      <c r="K821" s="41" t="n"/>
      <c r="L821" s="42" t="n"/>
      <c r="M821" s="43" t="n"/>
      <c r="N821" s="43" t="n"/>
      <c r="O821" s="44" t="n"/>
      <c r="P821" s="45" t="n"/>
      <c r="Q821" s="45" t="n"/>
      <c r="S821" s="39" t="n"/>
    </row>
    <row r="822" ht="15.75" customHeight="1">
      <c r="F822" s="39" t="n"/>
      <c r="I822" s="40" t="n"/>
      <c r="J822" s="41" t="n"/>
      <c r="K822" s="41" t="n"/>
      <c r="L822" s="42" t="n"/>
      <c r="M822" s="43" t="n"/>
      <c r="N822" s="43" t="n"/>
      <c r="O822" s="44" t="n"/>
      <c r="P822" s="45" t="n"/>
      <c r="Q822" s="45" t="n"/>
      <c r="S822" s="39" t="n"/>
    </row>
    <row r="823" ht="15.75" customHeight="1">
      <c r="F823" s="39" t="n"/>
      <c r="I823" s="40" t="n"/>
      <c r="J823" s="41" t="n"/>
      <c r="K823" s="41" t="n"/>
      <c r="L823" s="42" t="n"/>
      <c r="M823" s="43" t="n"/>
      <c r="N823" s="43" t="n"/>
      <c r="O823" s="44" t="n"/>
      <c r="P823" s="45" t="n"/>
      <c r="Q823" s="45" t="n"/>
      <c r="S823" s="39" t="n"/>
    </row>
    <row r="824" ht="15.75" customHeight="1">
      <c r="F824" s="39" t="n"/>
      <c r="I824" s="40" t="n"/>
      <c r="J824" s="41" t="n"/>
      <c r="K824" s="41" t="n"/>
      <c r="L824" s="42" t="n"/>
      <c r="M824" s="43" t="n"/>
      <c r="N824" s="43" t="n"/>
      <c r="O824" s="44" t="n"/>
      <c r="P824" s="45" t="n"/>
      <c r="Q824" s="45" t="n"/>
      <c r="S824" s="39" t="n"/>
    </row>
    <row r="825" ht="15.75" customHeight="1">
      <c r="F825" s="39" t="n"/>
      <c r="I825" s="40" t="n"/>
      <c r="J825" s="41" t="n"/>
      <c r="K825" s="41" t="n"/>
      <c r="L825" s="42" t="n"/>
      <c r="M825" s="43" t="n"/>
      <c r="N825" s="43" t="n"/>
      <c r="O825" s="44" t="n"/>
      <c r="P825" s="45" t="n"/>
      <c r="Q825" s="45" t="n"/>
      <c r="S825" s="39" t="n"/>
    </row>
    <row r="826" ht="15.75" customHeight="1">
      <c r="F826" s="39" t="n"/>
      <c r="I826" s="40" t="n"/>
      <c r="J826" s="41" t="n"/>
      <c r="K826" s="41" t="n"/>
      <c r="L826" s="42" t="n"/>
      <c r="M826" s="43" t="n"/>
      <c r="N826" s="43" t="n"/>
      <c r="O826" s="44" t="n"/>
      <c r="P826" s="45" t="n"/>
      <c r="Q826" s="45" t="n"/>
      <c r="S826" s="39" t="n"/>
    </row>
    <row r="827" ht="15.75" customHeight="1">
      <c r="F827" s="39" t="n"/>
      <c r="I827" s="40" t="n"/>
      <c r="J827" s="41" t="n"/>
      <c r="K827" s="41" t="n"/>
      <c r="L827" s="42" t="n"/>
      <c r="M827" s="43" t="n"/>
      <c r="N827" s="43" t="n"/>
      <c r="O827" s="44" t="n"/>
      <c r="P827" s="45" t="n"/>
      <c r="Q827" s="45" t="n"/>
      <c r="S827" s="39" t="n"/>
    </row>
    <row r="828" ht="15.75" customHeight="1">
      <c r="F828" s="39" t="n"/>
      <c r="I828" s="40" t="n"/>
      <c r="J828" s="41" t="n"/>
      <c r="K828" s="41" t="n"/>
      <c r="L828" s="42" t="n"/>
      <c r="M828" s="43" t="n"/>
      <c r="N828" s="43" t="n"/>
      <c r="O828" s="44" t="n"/>
      <c r="P828" s="45" t="n"/>
      <c r="Q828" s="45" t="n"/>
      <c r="S828" s="39" t="n"/>
    </row>
    <row r="829" ht="15.75" customHeight="1">
      <c r="F829" s="39" t="n"/>
      <c r="I829" s="40" t="n"/>
      <c r="J829" s="41" t="n"/>
      <c r="K829" s="41" t="n"/>
      <c r="L829" s="42" t="n"/>
      <c r="M829" s="43" t="n"/>
      <c r="N829" s="43" t="n"/>
      <c r="O829" s="44" t="n"/>
      <c r="P829" s="45" t="n"/>
      <c r="Q829" s="45" t="n"/>
      <c r="S829" s="39" t="n"/>
    </row>
    <row r="830" ht="15.75" customHeight="1">
      <c r="F830" s="39" t="n"/>
      <c r="I830" s="40" t="n"/>
      <c r="J830" s="41" t="n"/>
      <c r="K830" s="41" t="n"/>
      <c r="L830" s="42" t="n"/>
      <c r="M830" s="43" t="n"/>
      <c r="N830" s="43" t="n"/>
      <c r="O830" s="44" t="n"/>
      <c r="P830" s="45" t="n"/>
      <c r="Q830" s="45" t="n"/>
      <c r="S830" s="39" t="n"/>
    </row>
    <row r="831" ht="15.75" customHeight="1">
      <c r="F831" s="39" t="n"/>
      <c r="I831" s="40" t="n"/>
      <c r="J831" s="41" t="n"/>
      <c r="K831" s="41" t="n"/>
      <c r="L831" s="42" t="n"/>
      <c r="M831" s="43" t="n"/>
      <c r="N831" s="43" t="n"/>
      <c r="O831" s="44" t="n"/>
      <c r="P831" s="45" t="n"/>
      <c r="Q831" s="45" t="n"/>
      <c r="S831" s="39" t="n"/>
    </row>
    <row r="832" ht="15.75" customHeight="1">
      <c r="F832" s="39" t="n"/>
      <c r="I832" s="40" t="n"/>
      <c r="J832" s="41" t="n"/>
      <c r="K832" s="41" t="n"/>
      <c r="L832" s="42" t="n"/>
      <c r="M832" s="43" t="n"/>
      <c r="N832" s="43" t="n"/>
      <c r="O832" s="44" t="n"/>
      <c r="P832" s="45" t="n"/>
      <c r="Q832" s="45" t="n"/>
      <c r="S832" s="39" t="n"/>
    </row>
    <row r="833" ht="15.75" customHeight="1">
      <c r="F833" s="39" t="n"/>
      <c r="I833" s="40" t="n"/>
      <c r="J833" s="41" t="n"/>
      <c r="K833" s="41" t="n"/>
      <c r="L833" s="42" t="n"/>
      <c r="M833" s="43" t="n"/>
      <c r="N833" s="43" t="n"/>
      <c r="O833" s="44" t="n"/>
      <c r="P833" s="45" t="n"/>
      <c r="Q833" s="45" t="n"/>
      <c r="S833" s="39" t="n"/>
    </row>
    <row r="834" ht="15.75" customHeight="1">
      <c r="F834" s="39" t="n"/>
      <c r="I834" s="40" t="n"/>
      <c r="J834" s="41" t="n"/>
      <c r="K834" s="41" t="n"/>
      <c r="L834" s="42" t="n"/>
      <c r="M834" s="43" t="n"/>
      <c r="N834" s="43" t="n"/>
      <c r="O834" s="44" t="n"/>
      <c r="P834" s="45" t="n"/>
      <c r="Q834" s="45" t="n"/>
      <c r="S834" s="39" t="n"/>
    </row>
    <row r="835" ht="15.75" customHeight="1">
      <c r="F835" s="39" t="n"/>
      <c r="I835" s="40" t="n"/>
      <c r="J835" s="41" t="n"/>
      <c r="K835" s="41" t="n"/>
      <c r="L835" s="42" t="n"/>
      <c r="M835" s="43" t="n"/>
      <c r="N835" s="43" t="n"/>
      <c r="O835" s="44" t="n"/>
      <c r="P835" s="45" t="n"/>
      <c r="Q835" s="45" t="n"/>
      <c r="S835" s="39" t="n"/>
    </row>
    <row r="836" ht="15.75" customHeight="1">
      <c r="F836" s="39" t="n"/>
      <c r="I836" s="40" t="n"/>
      <c r="J836" s="41" t="n"/>
      <c r="K836" s="41" t="n"/>
      <c r="L836" s="42" t="n"/>
      <c r="M836" s="43" t="n"/>
      <c r="N836" s="43" t="n"/>
      <c r="O836" s="44" t="n"/>
      <c r="P836" s="45" t="n"/>
      <c r="Q836" s="45" t="n"/>
      <c r="S836" s="39" t="n"/>
    </row>
    <row r="837" ht="15.75" customHeight="1">
      <c r="F837" s="39" t="n"/>
      <c r="I837" s="40" t="n"/>
      <c r="J837" s="41" t="n"/>
      <c r="K837" s="41" t="n"/>
      <c r="L837" s="42" t="n"/>
      <c r="M837" s="43" t="n"/>
      <c r="N837" s="43" t="n"/>
      <c r="O837" s="44" t="n"/>
      <c r="P837" s="45" t="n"/>
      <c r="Q837" s="45" t="n"/>
      <c r="S837" s="39" t="n"/>
    </row>
    <row r="838" ht="15.75" customHeight="1">
      <c r="F838" s="39" t="n"/>
      <c r="I838" s="40" t="n"/>
      <c r="J838" s="41" t="n"/>
      <c r="K838" s="41" t="n"/>
      <c r="L838" s="42" t="n"/>
      <c r="M838" s="43" t="n"/>
      <c r="N838" s="43" t="n"/>
      <c r="O838" s="44" t="n"/>
      <c r="P838" s="45" t="n"/>
      <c r="Q838" s="45" t="n"/>
      <c r="S838" s="39" t="n"/>
    </row>
    <row r="839" ht="15.75" customHeight="1">
      <c r="F839" s="39" t="n"/>
      <c r="I839" s="40" t="n"/>
      <c r="J839" s="41" t="n"/>
      <c r="K839" s="41" t="n"/>
      <c r="L839" s="42" t="n"/>
      <c r="M839" s="43" t="n"/>
      <c r="N839" s="43" t="n"/>
      <c r="O839" s="44" t="n"/>
      <c r="P839" s="45" t="n"/>
      <c r="Q839" s="45" t="n"/>
      <c r="S839" s="39" t="n"/>
    </row>
    <row r="840" ht="15.75" customHeight="1">
      <c r="F840" s="39" t="n"/>
      <c r="I840" s="40" t="n"/>
      <c r="J840" s="41" t="n"/>
      <c r="K840" s="41" t="n"/>
      <c r="L840" s="42" t="n"/>
      <c r="M840" s="43" t="n"/>
      <c r="N840" s="43" t="n"/>
      <c r="O840" s="44" t="n"/>
      <c r="P840" s="45" t="n"/>
      <c r="Q840" s="45" t="n"/>
      <c r="S840" s="39" t="n"/>
    </row>
    <row r="841" ht="15.75" customHeight="1">
      <c r="F841" s="39" t="n"/>
      <c r="I841" s="40" t="n"/>
      <c r="J841" s="41" t="n"/>
      <c r="K841" s="41" t="n"/>
      <c r="L841" s="42" t="n"/>
      <c r="M841" s="43" t="n"/>
      <c r="N841" s="43" t="n"/>
      <c r="O841" s="44" t="n"/>
      <c r="P841" s="45" t="n"/>
      <c r="Q841" s="45" t="n"/>
      <c r="S841" s="39" t="n"/>
    </row>
    <row r="842" ht="15.75" customHeight="1">
      <c r="F842" s="39" t="n"/>
      <c r="I842" s="40" t="n"/>
      <c r="J842" s="41" t="n"/>
      <c r="K842" s="41" t="n"/>
      <c r="L842" s="42" t="n"/>
      <c r="M842" s="43" t="n"/>
      <c r="N842" s="43" t="n"/>
      <c r="O842" s="44" t="n"/>
      <c r="P842" s="45" t="n"/>
      <c r="Q842" s="45" t="n"/>
      <c r="S842" s="39" t="n"/>
    </row>
    <row r="843" ht="15.75" customHeight="1">
      <c r="F843" s="39" t="n"/>
      <c r="I843" s="40" t="n"/>
      <c r="J843" s="41" t="n"/>
      <c r="K843" s="41" t="n"/>
      <c r="L843" s="42" t="n"/>
      <c r="M843" s="43" t="n"/>
      <c r="N843" s="43" t="n"/>
      <c r="O843" s="44" t="n"/>
      <c r="P843" s="45" t="n"/>
      <c r="Q843" s="45" t="n"/>
      <c r="S843" s="39" t="n"/>
    </row>
    <row r="844" ht="15.75" customHeight="1">
      <c r="F844" s="39" t="n"/>
      <c r="I844" s="40" t="n"/>
      <c r="J844" s="41" t="n"/>
      <c r="K844" s="41" t="n"/>
      <c r="L844" s="42" t="n"/>
      <c r="M844" s="43" t="n"/>
      <c r="N844" s="43" t="n"/>
      <c r="O844" s="44" t="n"/>
      <c r="P844" s="45" t="n"/>
      <c r="Q844" s="45" t="n"/>
      <c r="S844" s="39" t="n"/>
    </row>
    <row r="845" ht="15.75" customHeight="1">
      <c r="F845" s="39" t="n"/>
      <c r="I845" s="40" t="n"/>
      <c r="J845" s="41" t="n"/>
      <c r="K845" s="41" t="n"/>
      <c r="L845" s="42" t="n"/>
      <c r="M845" s="43" t="n"/>
      <c r="N845" s="43" t="n"/>
      <c r="O845" s="44" t="n"/>
      <c r="P845" s="45" t="n"/>
      <c r="Q845" s="45" t="n"/>
      <c r="S845" s="39" t="n"/>
    </row>
    <row r="846" ht="15.75" customHeight="1">
      <c r="F846" s="39" t="n"/>
      <c r="I846" s="40" t="n"/>
      <c r="J846" s="41" t="n"/>
      <c r="K846" s="41" t="n"/>
      <c r="L846" s="42" t="n"/>
      <c r="M846" s="43" t="n"/>
      <c r="N846" s="43" t="n"/>
      <c r="O846" s="44" t="n"/>
      <c r="P846" s="45" t="n"/>
      <c r="Q846" s="45" t="n"/>
      <c r="S846" s="39" t="n"/>
    </row>
    <row r="847" ht="15.75" customHeight="1">
      <c r="F847" s="39" t="n"/>
      <c r="I847" s="40" t="n"/>
      <c r="J847" s="41" t="n"/>
      <c r="K847" s="41" t="n"/>
      <c r="L847" s="42" t="n"/>
      <c r="M847" s="43" t="n"/>
      <c r="N847" s="43" t="n"/>
      <c r="O847" s="44" t="n"/>
      <c r="P847" s="45" t="n"/>
      <c r="Q847" s="45" t="n"/>
      <c r="S847" s="39" t="n"/>
    </row>
    <row r="848" ht="15.75" customHeight="1">
      <c r="F848" s="39" t="n"/>
      <c r="I848" s="40" t="n"/>
      <c r="J848" s="41" t="n"/>
      <c r="K848" s="41" t="n"/>
      <c r="L848" s="42" t="n"/>
      <c r="M848" s="43" t="n"/>
      <c r="N848" s="43" t="n"/>
      <c r="O848" s="44" t="n"/>
      <c r="P848" s="45" t="n"/>
      <c r="Q848" s="45" t="n"/>
      <c r="S848" s="39" t="n"/>
    </row>
    <row r="849" ht="15.75" customHeight="1">
      <c r="F849" s="39" t="n"/>
      <c r="I849" s="40" t="n"/>
      <c r="J849" s="41" t="n"/>
      <c r="K849" s="41" t="n"/>
      <c r="L849" s="42" t="n"/>
      <c r="M849" s="43" t="n"/>
      <c r="N849" s="43" t="n"/>
      <c r="O849" s="44" t="n"/>
      <c r="P849" s="45" t="n"/>
      <c r="Q849" s="45" t="n"/>
      <c r="S849" s="39" t="n"/>
    </row>
    <row r="850" ht="15.75" customHeight="1">
      <c r="F850" s="39" t="n"/>
      <c r="I850" s="40" t="n"/>
      <c r="J850" s="41" t="n"/>
      <c r="K850" s="41" t="n"/>
      <c r="L850" s="42" t="n"/>
      <c r="M850" s="43" t="n"/>
      <c r="N850" s="43" t="n"/>
      <c r="O850" s="44" t="n"/>
      <c r="P850" s="45" t="n"/>
      <c r="Q850" s="45" t="n"/>
      <c r="S850" s="39" t="n"/>
    </row>
    <row r="851" ht="15.75" customHeight="1">
      <c r="F851" s="39" t="n"/>
      <c r="I851" s="40" t="n"/>
      <c r="J851" s="41" t="n"/>
      <c r="K851" s="41" t="n"/>
      <c r="L851" s="42" t="n"/>
      <c r="M851" s="43" t="n"/>
      <c r="N851" s="43" t="n"/>
      <c r="O851" s="44" t="n"/>
      <c r="P851" s="45" t="n"/>
      <c r="Q851" s="45" t="n"/>
      <c r="S851" s="39" t="n"/>
    </row>
    <row r="852" ht="15.75" customHeight="1">
      <c r="F852" s="39" t="n"/>
      <c r="I852" s="40" t="n"/>
      <c r="J852" s="41" t="n"/>
      <c r="K852" s="41" t="n"/>
      <c r="L852" s="42" t="n"/>
      <c r="M852" s="43" t="n"/>
      <c r="N852" s="43" t="n"/>
      <c r="O852" s="44" t="n"/>
      <c r="P852" s="45" t="n"/>
      <c r="Q852" s="45" t="n"/>
      <c r="S852" s="39" t="n"/>
    </row>
    <row r="853" ht="15.75" customHeight="1">
      <c r="F853" s="39" t="n"/>
      <c r="I853" s="40" t="n"/>
      <c r="J853" s="41" t="n"/>
      <c r="K853" s="41" t="n"/>
      <c r="L853" s="42" t="n"/>
      <c r="M853" s="43" t="n"/>
      <c r="N853" s="43" t="n"/>
      <c r="O853" s="44" t="n"/>
      <c r="P853" s="45" t="n"/>
      <c r="Q853" s="45" t="n"/>
      <c r="S853" s="39" t="n"/>
    </row>
    <row r="854" ht="15.75" customHeight="1">
      <c r="F854" s="39" t="n"/>
      <c r="I854" s="40" t="n"/>
      <c r="J854" s="41" t="n"/>
      <c r="K854" s="41" t="n"/>
      <c r="L854" s="42" t="n"/>
      <c r="M854" s="43" t="n"/>
      <c r="N854" s="43" t="n"/>
      <c r="O854" s="44" t="n"/>
      <c r="P854" s="45" t="n"/>
      <c r="Q854" s="45" t="n"/>
      <c r="S854" s="39" t="n"/>
    </row>
    <row r="855" ht="15.75" customHeight="1">
      <c r="F855" s="39" t="n"/>
      <c r="I855" s="40" t="n"/>
      <c r="J855" s="41" t="n"/>
      <c r="K855" s="41" t="n"/>
      <c r="L855" s="42" t="n"/>
      <c r="M855" s="43" t="n"/>
      <c r="N855" s="43" t="n"/>
      <c r="O855" s="44" t="n"/>
      <c r="P855" s="45" t="n"/>
      <c r="Q855" s="45" t="n"/>
      <c r="S855" s="39" t="n"/>
    </row>
    <row r="856" ht="15.75" customHeight="1">
      <c r="F856" s="39" t="n"/>
      <c r="I856" s="40" t="n"/>
      <c r="J856" s="41" t="n"/>
      <c r="K856" s="41" t="n"/>
      <c r="L856" s="42" t="n"/>
      <c r="M856" s="43" t="n"/>
      <c r="N856" s="43" t="n"/>
      <c r="O856" s="44" t="n"/>
      <c r="P856" s="45" t="n"/>
      <c r="Q856" s="45" t="n"/>
      <c r="S856" s="39" t="n"/>
    </row>
    <row r="857" ht="15.75" customHeight="1">
      <c r="F857" s="39" t="n"/>
      <c r="I857" s="40" t="n"/>
      <c r="J857" s="41" t="n"/>
      <c r="K857" s="41" t="n"/>
      <c r="L857" s="42" t="n"/>
      <c r="M857" s="43" t="n"/>
      <c r="N857" s="43" t="n"/>
      <c r="O857" s="44" t="n"/>
      <c r="P857" s="45" t="n"/>
      <c r="Q857" s="45" t="n"/>
      <c r="S857" s="39" t="n"/>
    </row>
    <row r="858" ht="15.75" customHeight="1">
      <c r="F858" s="39" t="n"/>
      <c r="I858" s="40" t="n"/>
      <c r="J858" s="41" t="n"/>
      <c r="K858" s="41" t="n"/>
      <c r="L858" s="42" t="n"/>
      <c r="M858" s="43" t="n"/>
      <c r="N858" s="43" t="n"/>
      <c r="O858" s="44" t="n"/>
      <c r="P858" s="45" t="n"/>
      <c r="Q858" s="45" t="n"/>
      <c r="S858" s="39" t="n"/>
    </row>
    <row r="859" ht="15.75" customHeight="1">
      <c r="F859" s="39" t="n"/>
      <c r="I859" s="40" t="n"/>
      <c r="J859" s="41" t="n"/>
      <c r="K859" s="41" t="n"/>
      <c r="L859" s="42" t="n"/>
      <c r="M859" s="43" t="n"/>
      <c r="N859" s="43" t="n"/>
      <c r="O859" s="44" t="n"/>
      <c r="P859" s="45" t="n"/>
      <c r="Q859" s="45" t="n"/>
      <c r="S859" s="39" t="n"/>
    </row>
    <row r="860" ht="15.75" customHeight="1">
      <c r="F860" s="39" t="n"/>
      <c r="I860" s="40" t="n"/>
      <c r="J860" s="41" t="n"/>
      <c r="K860" s="41" t="n"/>
      <c r="L860" s="42" t="n"/>
      <c r="M860" s="43" t="n"/>
      <c r="N860" s="43" t="n"/>
      <c r="O860" s="44" t="n"/>
      <c r="P860" s="45" t="n"/>
      <c r="Q860" s="45" t="n"/>
      <c r="S860" s="39" t="n"/>
    </row>
    <row r="861" ht="15.75" customHeight="1">
      <c r="F861" s="39" t="n"/>
      <c r="I861" s="40" t="n"/>
      <c r="J861" s="41" t="n"/>
      <c r="K861" s="41" t="n"/>
      <c r="L861" s="42" t="n"/>
      <c r="M861" s="43" t="n"/>
      <c r="N861" s="43" t="n"/>
      <c r="O861" s="44" t="n"/>
      <c r="P861" s="45" t="n"/>
      <c r="Q861" s="45" t="n"/>
      <c r="S861" s="39" t="n"/>
    </row>
    <row r="862" ht="15.75" customHeight="1">
      <c r="F862" s="39" t="n"/>
      <c r="I862" s="40" t="n"/>
      <c r="J862" s="41" t="n"/>
      <c r="K862" s="41" t="n"/>
      <c r="L862" s="42" t="n"/>
      <c r="M862" s="43" t="n"/>
      <c r="N862" s="43" t="n"/>
      <c r="O862" s="44" t="n"/>
      <c r="P862" s="45" t="n"/>
      <c r="Q862" s="45" t="n"/>
      <c r="S862" s="39" t="n"/>
    </row>
    <row r="863" ht="15.75" customHeight="1">
      <c r="F863" s="39" t="n"/>
      <c r="I863" s="40" t="n"/>
      <c r="J863" s="41" t="n"/>
      <c r="K863" s="41" t="n"/>
      <c r="L863" s="42" t="n"/>
      <c r="M863" s="43" t="n"/>
      <c r="N863" s="43" t="n"/>
      <c r="O863" s="44" t="n"/>
      <c r="P863" s="45" t="n"/>
      <c r="Q863" s="45" t="n"/>
      <c r="S863" s="39" t="n"/>
    </row>
    <row r="864" ht="15.75" customHeight="1">
      <c r="F864" s="39" t="n"/>
      <c r="I864" s="40" t="n"/>
      <c r="J864" s="41" t="n"/>
      <c r="K864" s="41" t="n"/>
      <c r="L864" s="42" t="n"/>
      <c r="M864" s="43" t="n"/>
      <c r="N864" s="43" t="n"/>
      <c r="O864" s="44" t="n"/>
      <c r="P864" s="45" t="n"/>
      <c r="Q864" s="45" t="n"/>
      <c r="S864" s="39" t="n"/>
    </row>
    <row r="865" ht="15.75" customHeight="1">
      <c r="F865" s="39" t="n"/>
      <c r="I865" s="40" t="n"/>
      <c r="J865" s="41" t="n"/>
      <c r="K865" s="41" t="n"/>
      <c r="L865" s="42" t="n"/>
      <c r="M865" s="43" t="n"/>
      <c r="N865" s="43" t="n"/>
      <c r="O865" s="44" t="n"/>
      <c r="P865" s="45" t="n"/>
      <c r="Q865" s="45" t="n"/>
      <c r="S865" s="39" t="n"/>
    </row>
    <row r="866" ht="15.75" customHeight="1">
      <c r="F866" s="39" t="n"/>
      <c r="I866" s="40" t="n"/>
      <c r="J866" s="41" t="n"/>
      <c r="K866" s="41" t="n"/>
      <c r="L866" s="42" t="n"/>
      <c r="M866" s="43" t="n"/>
      <c r="N866" s="43" t="n"/>
      <c r="O866" s="44" t="n"/>
      <c r="P866" s="45" t="n"/>
      <c r="Q866" s="45" t="n"/>
      <c r="S866" s="39" t="n"/>
    </row>
    <row r="867" ht="15.75" customHeight="1">
      <c r="F867" s="39" t="n"/>
      <c r="I867" s="40" t="n"/>
      <c r="J867" s="41" t="n"/>
      <c r="K867" s="41" t="n"/>
      <c r="L867" s="42" t="n"/>
      <c r="M867" s="43" t="n"/>
      <c r="N867" s="43" t="n"/>
      <c r="O867" s="44" t="n"/>
      <c r="P867" s="45" t="n"/>
      <c r="Q867" s="45" t="n"/>
      <c r="S867" s="39" t="n"/>
    </row>
    <row r="868" ht="15.75" customHeight="1">
      <c r="F868" s="39" t="n"/>
      <c r="I868" s="40" t="n"/>
      <c r="J868" s="41" t="n"/>
      <c r="K868" s="41" t="n"/>
      <c r="L868" s="42" t="n"/>
      <c r="M868" s="43" t="n"/>
      <c r="N868" s="43" t="n"/>
      <c r="O868" s="44" t="n"/>
      <c r="P868" s="45" t="n"/>
      <c r="Q868" s="45" t="n"/>
      <c r="S868" s="39" t="n"/>
    </row>
    <row r="869" ht="15.75" customHeight="1">
      <c r="F869" s="39" t="n"/>
      <c r="I869" s="40" t="n"/>
      <c r="J869" s="41" t="n"/>
      <c r="K869" s="41" t="n"/>
      <c r="L869" s="42" t="n"/>
      <c r="M869" s="43" t="n"/>
      <c r="N869" s="43" t="n"/>
      <c r="O869" s="44" t="n"/>
      <c r="P869" s="45" t="n"/>
      <c r="Q869" s="45" t="n"/>
      <c r="S869" s="39" t="n"/>
    </row>
    <row r="870" ht="15.75" customHeight="1">
      <c r="F870" s="39" t="n"/>
      <c r="I870" s="40" t="n"/>
      <c r="J870" s="41" t="n"/>
      <c r="K870" s="41" t="n"/>
      <c r="L870" s="42" t="n"/>
      <c r="M870" s="43" t="n"/>
      <c r="N870" s="43" t="n"/>
      <c r="O870" s="44" t="n"/>
      <c r="P870" s="45" t="n"/>
      <c r="Q870" s="45" t="n"/>
      <c r="S870" s="39" t="n"/>
    </row>
    <row r="871" ht="15.75" customHeight="1">
      <c r="F871" s="39" t="n"/>
      <c r="I871" s="40" t="n"/>
      <c r="J871" s="41" t="n"/>
      <c r="K871" s="41" t="n"/>
      <c r="L871" s="42" t="n"/>
      <c r="M871" s="43" t="n"/>
      <c r="N871" s="43" t="n"/>
      <c r="O871" s="44" t="n"/>
      <c r="P871" s="45" t="n"/>
      <c r="Q871" s="45" t="n"/>
      <c r="S871" s="39" t="n"/>
    </row>
    <row r="872" ht="15.75" customHeight="1">
      <c r="F872" s="39" t="n"/>
      <c r="I872" s="40" t="n"/>
      <c r="J872" s="41" t="n"/>
      <c r="K872" s="41" t="n"/>
      <c r="L872" s="42" t="n"/>
      <c r="M872" s="43" t="n"/>
      <c r="N872" s="43" t="n"/>
      <c r="O872" s="44" t="n"/>
      <c r="P872" s="45" t="n"/>
      <c r="Q872" s="45" t="n"/>
      <c r="S872" s="39" t="n"/>
    </row>
    <row r="873" ht="15.75" customHeight="1">
      <c r="F873" s="39" t="n"/>
      <c r="I873" s="40" t="n"/>
      <c r="J873" s="41" t="n"/>
      <c r="K873" s="41" t="n"/>
      <c r="L873" s="42" t="n"/>
      <c r="M873" s="43" t="n"/>
      <c r="N873" s="43" t="n"/>
      <c r="O873" s="44" t="n"/>
      <c r="P873" s="45" t="n"/>
      <c r="Q873" s="45" t="n"/>
      <c r="S873" s="39" t="n"/>
    </row>
    <row r="874" ht="15.75" customHeight="1">
      <c r="F874" s="39" t="n"/>
      <c r="I874" s="40" t="n"/>
      <c r="J874" s="41" t="n"/>
      <c r="K874" s="41" t="n"/>
      <c r="L874" s="42" t="n"/>
      <c r="M874" s="43" t="n"/>
      <c r="N874" s="43" t="n"/>
      <c r="O874" s="44" t="n"/>
      <c r="P874" s="45" t="n"/>
      <c r="Q874" s="45" t="n"/>
      <c r="S874" s="39" t="n"/>
    </row>
    <row r="875" ht="15.75" customHeight="1">
      <c r="F875" s="39" t="n"/>
      <c r="I875" s="40" t="n"/>
      <c r="J875" s="41" t="n"/>
      <c r="K875" s="41" t="n"/>
      <c r="L875" s="42" t="n"/>
      <c r="M875" s="43" t="n"/>
      <c r="N875" s="43" t="n"/>
      <c r="O875" s="44" t="n"/>
      <c r="P875" s="45" t="n"/>
      <c r="Q875" s="45" t="n"/>
      <c r="S875" s="39" t="n"/>
    </row>
    <row r="876" ht="15.75" customHeight="1">
      <c r="F876" s="39" t="n"/>
      <c r="I876" s="40" t="n"/>
      <c r="J876" s="41" t="n"/>
      <c r="K876" s="41" t="n"/>
      <c r="L876" s="42" t="n"/>
      <c r="M876" s="43" t="n"/>
      <c r="N876" s="43" t="n"/>
      <c r="O876" s="44" t="n"/>
      <c r="P876" s="45" t="n"/>
      <c r="Q876" s="45" t="n"/>
      <c r="S876" s="39" t="n"/>
    </row>
    <row r="877" ht="15.75" customHeight="1">
      <c r="F877" s="39" t="n"/>
      <c r="I877" s="40" t="n"/>
      <c r="J877" s="41" t="n"/>
      <c r="K877" s="41" t="n"/>
      <c r="L877" s="42" t="n"/>
      <c r="M877" s="43" t="n"/>
      <c r="N877" s="43" t="n"/>
      <c r="O877" s="44" t="n"/>
      <c r="P877" s="45" t="n"/>
      <c r="Q877" s="45" t="n"/>
      <c r="S877" s="39" t="n"/>
    </row>
    <row r="878" ht="15.75" customHeight="1">
      <c r="F878" s="39" t="n"/>
      <c r="I878" s="40" t="n"/>
      <c r="J878" s="41" t="n"/>
      <c r="K878" s="41" t="n"/>
      <c r="L878" s="42" t="n"/>
      <c r="M878" s="43" t="n"/>
      <c r="N878" s="43" t="n"/>
      <c r="O878" s="44" t="n"/>
      <c r="P878" s="45" t="n"/>
      <c r="Q878" s="45" t="n"/>
      <c r="S878" s="39" t="n"/>
    </row>
    <row r="879" ht="15.75" customHeight="1">
      <c r="F879" s="39" t="n"/>
      <c r="I879" s="40" t="n"/>
      <c r="J879" s="41" t="n"/>
      <c r="K879" s="41" t="n"/>
      <c r="L879" s="42" t="n"/>
      <c r="M879" s="43" t="n"/>
      <c r="N879" s="43" t="n"/>
      <c r="O879" s="44" t="n"/>
      <c r="P879" s="45" t="n"/>
      <c r="Q879" s="45" t="n"/>
      <c r="S879" s="39" t="n"/>
    </row>
    <row r="880" ht="15.75" customHeight="1">
      <c r="F880" s="39" t="n"/>
      <c r="I880" s="40" t="n"/>
      <c r="J880" s="41" t="n"/>
      <c r="K880" s="41" t="n"/>
      <c r="L880" s="42" t="n"/>
      <c r="M880" s="43" t="n"/>
      <c r="N880" s="43" t="n"/>
      <c r="O880" s="44" t="n"/>
      <c r="P880" s="45" t="n"/>
      <c r="Q880" s="45" t="n"/>
      <c r="S880" s="39" t="n"/>
    </row>
    <row r="881" ht="15.75" customHeight="1">
      <c r="F881" s="39" t="n"/>
      <c r="I881" s="40" t="n"/>
      <c r="J881" s="41" t="n"/>
      <c r="K881" s="41" t="n"/>
      <c r="L881" s="42" t="n"/>
      <c r="M881" s="43" t="n"/>
      <c r="N881" s="43" t="n"/>
      <c r="O881" s="44" t="n"/>
      <c r="P881" s="45" t="n"/>
      <c r="Q881" s="45" t="n"/>
      <c r="S881" s="39" t="n"/>
    </row>
    <row r="882" ht="15.75" customHeight="1">
      <c r="F882" s="39" t="n"/>
      <c r="I882" s="40" t="n"/>
      <c r="J882" s="41" t="n"/>
      <c r="K882" s="41" t="n"/>
      <c r="L882" s="42" t="n"/>
      <c r="M882" s="43" t="n"/>
      <c r="N882" s="43" t="n"/>
      <c r="O882" s="44" t="n"/>
      <c r="P882" s="45" t="n"/>
      <c r="Q882" s="45" t="n"/>
      <c r="S882" s="39" t="n"/>
    </row>
    <row r="883" ht="15.75" customHeight="1">
      <c r="F883" s="39" t="n"/>
      <c r="I883" s="40" t="n"/>
      <c r="J883" s="41" t="n"/>
      <c r="K883" s="41" t="n"/>
      <c r="L883" s="42" t="n"/>
      <c r="M883" s="43" t="n"/>
      <c r="N883" s="43" t="n"/>
      <c r="O883" s="44" t="n"/>
      <c r="P883" s="45" t="n"/>
      <c r="Q883" s="45" t="n"/>
      <c r="S883" s="39" t="n"/>
    </row>
    <row r="884" ht="15.75" customHeight="1">
      <c r="F884" s="39" t="n"/>
      <c r="I884" s="40" t="n"/>
      <c r="J884" s="41" t="n"/>
      <c r="K884" s="41" t="n"/>
      <c r="L884" s="42" t="n"/>
      <c r="M884" s="43" t="n"/>
      <c r="N884" s="43" t="n"/>
      <c r="O884" s="44" t="n"/>
      <c r="P884" s="45" t="n"/>
      <c r="Q884" s="45" t="n"/>
      <c r="S884" s="39" t="n"/>
    </row>
    <row r="885" ht="15.75" customHeight="1">
      <c r="F885" s="39" t="n"/>
      <c r="I885" s="40" t="n"/>
      <c r="J885" s="41" t="n"/>
      <c r="K885" s="41" t="n"/>
      <c r="L885" s="42" t="n"/>
      <c r="M885" s="43" t="n"/>
      <c r="N885" s="43" t="n"/>
      <c r="O885" s="44" t="n"/>
      <c r="P885" s="45" t="n"/>
      <c r="Q885" s="45" t="n"/>
      <c r="S885" s="39" t="n"/>
    </row>
    <row r="886" ht="15.75" customHeight="1">
      <c r="F886" s="39" t="n"/>
      <c r="I886" s="40" t="n"/>
      <c r="J886" s="41" t="n"/>
      <c r="K886" s="41" t="n"/>
      <c r="L886" s="42" t="n"/>
      <c r="M886" s="43" t="n"/>
      <c r="N886" s="43" t="n"/>
      <c r="O886" s="44" t="n"/>
      <c r="P886" s="45" t="n"/>
      <c r="Q886" s="45" t="n"/>
      <c r="S886" s="39" t="n"/>
    </row>
    <row r="887" ht="15.75" customHeight="1">
      <c r="F887" s="39" t="n"/>
      <c r="I887" s="40" t="n"/>
      <c r="J887" s="41" t="n"/>
      <c r="K887" s="41" t="n"/>
      <c r="L887" s="42" t="n"/>
      <c r="M887" s="43" t="n"/>
      <c r="N887" s="43" t="n"/>
      <c r="O887" s="44" t="n"/>
      <c r="P887" s="45" t="n"/>
      <c r="Q887" s="45" t="n"/>
      <c r="S887" s="39" t="n"/>
    </row>
    <row r="888" ht="15.75" customHeight="1">
      <c r="F888" s="39" t="n"/>
      <c r="I888" s="40" t="n"/>
      <c r="J888" s="41" t="n"/>
      <c r="K888" s="41" t="n"/>
      <c r="L888" s="42" t="n"/>
      <c r="M888" s="43" t="n"/>
      <c r="N888" s="43" t="n"/>
      <c r="O888" s="44" t="n"/>
      <c r="P888" s="45" t="n"/>
      <c r="Q888" s="45" t="n"/>
      <c r="S888" s="39" t="n"/>
    </row>
    <row r="889" ht="15.75" customHeight="1">
      <c r="F889" s="39" t="n"/>
      <c r="I889" s="40" t="n"/>
      <c r="J889" s="41" t="n"/>
      <c r="K889" s="41" t="n"/>
      <c r="L889" s="42" t="n"/>
      <c r="M889" s="43" t="n"/>
      <c r="N889" s="43" t="n"/>
      <c r="O889" s="44" t="n"/>
      <c r="P889" s="45" t="n"/>
      <c r="Q889" s="45" t="n"/>
      <c r="S889" s="39" t="n"/>
    </row>
    <row r="890" ht="15.75" customHeight="1">
      <c r="F890" s="39" t="n"/>
      <c r="I890" s="40" t="n"/>
      <c r="J890" s="41" t="n"/>
      <c r="K890" s="41" t="n"/>
      <c r="L890" s="42" t="n"/>
      <c r="M890" s="43" t="n"/>
      <c r="N890" s="43" t="n"/>
      <c r="O890" s="44" t="n"/>
      <c r="P890" s="45" t="n"/>
      <c r="Q890" s="45" t="n"/>
      <c r="S890" s="39" t="n"/>
    </row>
    <row r="891" ht="15.75" customHeight="1">
      <c r="F891" s="39" t="n"/>
      <c r="I891" s="40" t="n"/>
      <c r="J891" s="41" t="n"/>
      <c r="K891" s="41" t="n"/>
      <c r="L891" s="42" t="n"/>
      <c r="M891" s="43" t="n"/>
      <c r="N891" s="43" t="n"/>
      <c r="O891" s="44" t="n"/>
      <c r="P891" s="45" t="n"/>
      <c r="Q891" s="45" t="n"/>
      <c r="S891" s="39" t="n"/>
    </row>
    <row r="892" ht="15.75" customHeight="1">
      <c r="F892" s="39" t="n"/>
      <c r="I892" s="40" t="n"/>
      <c r="J892" s="41" t="n"/>
      <c r="K892" s="41" t="n"/>
      <c r="L892" s="42" t="n"/>
      <c r="M892" s="43" t="n"/>
      <c r="N892" s="43" t="n"/>
      <c r="O892" s="44" t="n"/>
      <c r="P892" s="45" t="n"/>
      <c r="Q892" s="45" t="n"/>
      <c r="S892" s="39" t="n"/>
    </row>
    <row r="893" ht="15.75" customHeight="1">
      <c r="F893" s="39" t="n"/>
      <c r="I893" s="40" t="n"/>
      <c r="J893" s="41" t="n"/>
      <c r="K893" s="41" t="n"/>
      <c r="L893" s="42" t="n"/>
      <c r="M893" s="43" t="n"/>
      <c r="N893" s="43" t="n"/>
      <c r="O893" s="44" t="n"/>
      <c r="P893" s="45" t="n"/>
      <c r="Q893" s="45" t="n"/>
      <c r="S893" s="39" t="n"/>
    </row>
    <row r="894" ht="15.75" customHeight="1">
      <c r="F894" s="39" t="n"/>
      <c r="I894" s="40" t="n"/>
      <c r="J894" s="41" t="n"/>
      <c r="K894" s="41" t="n"/>
      <c r="L894" s="42" t="n"/>
      <c r="M894" s="43" t="n"/>
      <c r="N894" s="43" t="n"/>
      <c r="O894" s="44" t="n"/>
      <c r="P894" s="45" t="n"/>
      <c r="Q894" s="45" t="n"/>
      <c r="S894" s="39" t="n"/>
    </row>
    <row r="895" ht="15.75" customHeight="1">
      <c r="F895" s="39" t="n"/>
      <c r="I895" s="40" t="n"/>
      <c r="J895" s="41" t="n"/>
      <c r="K895" s="41" t="n"/>
      <c r="L895" s="42" t="n"/>
      <c r="M895" s="43" t="n"/>
      <c r="N895" s="43" t="n"/>
      <c r="O895" s="44" t="n"/>
      <c r="P895" s="45" t="n"/>
      <c r="Q895" s="45" t="n"/>
      <c r="S895" s="39" t="n"/>
    </row>
    <row r="896" ht="15.75" customHeight="1">
      <c r="F896" s="39" t="n"/>
      <c r="I896" s="40" t="n"/>
      <c r="J896" s="41" t="n"/>
      <c r="K896" s="41" t="n"/>
      <c r="L896" s="42" t="n"/>
      <c r="M896" s="43" t="n"/>
      <c r="N896" s="43" t="n"/>
      <c r="O896" s="44" t="n"/>
      <c r="P896" s="45" t="n"/>
      <c r="Q896" s="45" t="n"/>
      <c r="S896" s="39" t="n"/>
    </row>
    <row r="897" ht="15.75" customHeight="1">
      <c r="F897" s="39" t="n"/>
      <c r="I897" s="40" t="n"/>
      <c r="J897" s="41" t="n"/>
      <c r="K897" s="41" t="n"/>
      <c r="L897" s="42" t="n"/>
      <c r="M897" s="43" t="n"/>
      <c r="N897" s="43" t="n"/>
      <c r="O897" s="44" t="n"/>
      <c r="P897" s="45" t="n"/>
      <c r="Q897" s="45" t="n"/>
      <c r="S897" s="39" t="n"/>
    </row>
    <row r="898" ht="15.75" customHeight="1">
      <c r="F898" s="39" t="n"/>
      <c r="I898" s="40" t="n"/>
      <c r="J898" s="41" t="n"/>
      <c r="K898" s="41" t="n"/>
      <c r="L898" s="42" t="n"/>
      <c r="M898" s="43" t="n"/>
      <c r="N898" s="43" t="n"/>
      <c r="O898" s="44" t="n"/>
      <c r="P898" s="45" t="n"/>
      <c r="Q898" s="45" t="n"/>
      <c r="S898" s="39" t="n"/>
    </row>
    <row r="899" ht="15.75" customHeight="1">
      <c r="F899" s="39" t="n"/>
      <c r="I899" s="40" t="n"/>
      <c r="J899" s="41" t="n"/>
      <c r="K899" s="41" t="n"/>
      <c r="L899" s="42" t="n"/>
      <c r="M899" s="43" t="n"/>
      <c r="N899" s="43" t="n"/>
      <c r="O899" s="44" t="n"/>
      <c r="P899" s="45" t="n"/>
      <c r="Q899" s="45" t="n"/>
      <c r="S899" s="39" t="n"/>
    </row>
    <row r="900" ht="15.75" customHeight="1">
      <c r="F900" s="39" t="n"/>
      <c r="I900" s="40" t="n"/>
      <c r="J900" s="41" t="n"/>
      <c r="K900" s="41" t="n"/>
      <c r="L900" s="42" t="n"/>
      <c r="M900" s="43" t="n"/>
      <c r="N900" s="43" t="n"/>
      <c r="O900" s="44" t="n"/>
      <c r="P900" s="45" t="n"/>
      <c r="Q900" s="45" t="n"/>
      <c r="S900" s="39" t="n"/>
    </row>
    <row r="901" ht="15.75" customHeight="1">
      <c r="F901" s="39" t="n"/>
      <c r="I901" s="40" t="n"/>
      <c r="J901" s="41" t="n"/>
      <c r="K901" s="41" t="n"/>
      <c r="L901" s="42" t="n"/>
      <c r="M901" s="43" t="n"/>
      <c r="N901" s="43" t="n"/>
      <c r="O901" s="44" t="n"/>
      <c r="P901" s="45" t="n"/>
      <c r="Q901" s="45" t="n"/>
      <c r="S901" s="39" t="n"/>
    </row>
    <row r="902" ht="15.75" customHeight="1">
      <c r="F902" s="39" t="n"/>
      <c r="I902" s="40" t="n"/>
      <c r="J902" s="41" t="n"/>
      <c r="K902" s="41" t="n"/>
      <c r="L902" s="42" t="n"/>
      <c r="M902" s="43" t="n"/>
      <c r="N902" s="43" t="n"/>
      <c r="O902" s="44" t="n"/>
      <c r="P902" s="45" t="n"/>
      <c r="Q902" s="45" t="n"/>
      <c r="S902" s="39" t="n"/>
    </row>
    <row r="903" ht="15.75" customHeight="1">
      <c r="F903" s="39" t="n"/>
      <c r="I903" s="40" t="n"/>
      <c r="J903" s="41" t="n"/>
      <c r="K903" s="41" t="n"/>
      <c r="L903" s="42" t="n"/>
      <c r="M903" s="43" t="n"/>
      <c r="N903" s="43" t="n"/>
      <c r="O903" s="44" t="n"/>
      <c r="P903" s="45" t="n"/>
      <c r="Q903" s="45" t="n"/>
      <c r="S903" s="39" t="n"/>
    </row>
    <row r="904" ht="15.75" customHeight="1">
      <c r="F904" s="39" t="n"/>
      <c r="I904" s="40" t="n"/>
      <c r="J904" s="41" t="n"/>
      <c r="K904" s="41" t="n"/>
      <c r="L904" s="42" t="n"/>
      <c r="M904" s="43" t="n"/>
      <c r="N904" s="43" t="n"/>
      <c r="O904" s="44" t="n"/>
      <c r="P904" s="45" t="n"/>
      <c r="Q904" s="45" t="n"/>
      <c r="S904" s="39" t="n"/>
    </row>
    <row r="905" ht="15.75" customHeight="1">
      <c r="F905" s="39" t="n"/>
      <c r="I905" s="40" t="n"/>
      <c r="J905" s="41" t="n"/>
      <c r="K905" s="41" t="n"/>
      <c r="L905" s="42" t="n"/>
      <c r="M905" s="43" t="n"/>
      <c r="N905" s="43" t="n"/>
      <c r="O905" s="44" t="n"/>
      <c r="P905" s="45" t="n"/>
      <c r="Q905" s="45" t="n"/>
      <c r="S905" s="39" t="n"/>
    </row>
    <row r="906" ht="15.75" customHeight="1">
      <c r="F906" s="39" t="n"/>
      <c r="I906" s="40" t="n"/>
      <c r="J906" s="41" t="n"/>
      <c r="K906" s="41" t="n"/>
      <c r="L906" s="42" t="n"/>
      <c r="M906" s="43" t="n"/>
      <c r="N906" s="43" t="n"/>
      <c r="O906" s="44" t="n"/>
      <c r="P906" s="45" t="n"/>
      <c r="Q906" s="45" t="n"/>
      <c r="S906" s="39" t="n"/>
    </row>
    <row r="907" ht="15.75" customHeight="1">
      <c r="F907" s="39" t="n"/>
      <c r="I907" s="40" t="n"/>
      <c r="J907" s="41" t="n"/>
      <c r="K907" s="41" t="n"/>
      <c r="L907" s="42" t="n"/>
      <c r="M907" s="43" t="n"/>
      <c r="N907" s="43" t="n"/>
      <c r="O907" s="44" t="n"/>
      <c r="P907" s="45" t="n"/>
      <c r="Q907" s="45" t="n"/>
      <c r="S907" s="39" t="n"/>
    </row>
    <row r="908" ht="15.75" customHeight="1">
      <c r="F908" s="39" t="n"/>
      <c r="I908" s="40" t="n"/>
      <c r="J908" s="41" t="n"/>
      <c r="K908" s="41" t="n"/>
      <c r="L908" s="42" t="n"/>
      <c r="M908" s="43" t="n"/>
      <c r="N908" s="43" t="n"/>
      <c r="O908" s="44" t="n"/>
      <c r="P908" s="45" t="n"/>
      <c r="Q908" s="45" t="n"/>
      <c r="S908" s="39" t="n"/>
    </row>
    <row r="909" ht="15.75" customHeight="1">
      <c r="F909" s="39" t="n"/>
      <c r="I909" s="40" t="n"/>
      <c r="J909" s="41" t="n"/>
      <c r="K909" s="41" t="n"/>
      <c r="L909" s="42" t="n"/>
      <c r="M909" s="43" t="n"/>
      <c r="N909" s="43" t="n"/>
      <c r="O909" s="44" t="n"/>
      <c r="P909" s="45" t="n"/>
      <c r="Q909" s="45" t="n"/>
      <c r="S909" s="39" t="n"/>
    </row>
    <row r="910" ht="15.75" customHeight="1">
      <c r="F910" s="39" t="n"/>
      <c r="I910" s="40" t="n"/>
      <c r="J910" s="41" t="n"/>
      <c r="K910" s="41" t="n"/>
      <c r="L910" s="42" t="n"/>
      <c r="M910" s="43" t="n"/>
      <c r="N910" s="43" t="n"/>
      <c r="O910" s="44" t="n"/>
      <c r="P910" s="45" t="n"/>
      <c r="Q910" s="45" t="n"/>
      <c r="S910" s="39" t="n"/>
    </row>
    <row r="911" ht="15.75" customHeight="1">
      <c r="F911" s="39" t="n"/>
      <c r="I911" s="40" t="n"/>
      <c r="J911" s="41" t="n"/>
      <c r="K911" s="41" t="n"/>
      <c r="L911" s="42" t="n"/>
      <c r="M911" s="43" t="n"/>
      <c r="N911" s="43" t="n"/>
      <c r="O911" s="44" t="n"/>
      <c r="P911" s="45" t="n"/>
      <c r="Q911" s="45" t="n"/>
      <c r="S911" s="39" t="n"/>
    </row>
    <row r="912" ht="15.75" customHeight="1">
      <c r="F912" s="39" t="n"/>
      <c r="I912" s="40" t="n"/>
      <c r="J912" s="41" t="n"/>
      <c r="K912" s="41" t="n"/>
      <c r="L912" s="42" t="n"/>
      <c r="M912" s="43" t="n"/>
      <c r="N912" s="43" t="n"/>
      <c r="O912" s="44" t="n"/>
      <c r="P912" s="45" t="n"/>
      <c r="Q912" s="45" t="n"/>
      <c r="S912" s="39" t="n"/>
    </row>
    <row r="913" ht="15.75" customHeight="1">
      <c r="F913" s="39" t="n"/>
      <c r="I913" s="40" t="n"/>
      <c r="J913" s="41" t="n"/>
      <c r="K913" s="41" t="n"/>
      <c r="L913" s="42" t="n"/>
      <c r="M913" s="43" t="n"/>
      <c r="N913" s="43" t="n"/>
      <c r="O913" s="44" t="n"/>
      <c r="P913" s="45" t="n"/>
      <c r="Q913" s="45" t="n"/>
      <c r="S913" s="39" t="n"/>
    </row>
    <row r="914" ht="15.75" customHeight="1">
      <c r="F914" s="39" t="n"/>
      <c r="I914" s="40" t="n"/>
      <c r="J914" s="41" t="n"/>
      <c r="K914" s="41" t="n"/>
      <c r="L914" s="42" t="n"/>
      <c r="M914" s="43" t="n"/>
      <c r="N914" s="43" t="n"/>
      <c r="O914" s="44" t="n"/>
      <c r="P914" s="45" t="n"/>
      <c r="Q914" s="45" t="n"/>
      <c r="S914" s="39" t="n"/>
    </row>
    <row r="915" ht="15.75" customHeight="1">
      <c r="F915" s="39" t="n"/>
      <c r="I915" s="40" t="n"/>
      <c r="J915" s="41" t="n"/>
      <c r="K915" s="41" t="n"/>
      <c r="L915" s="42" t="n"/>
      <c r="M915" s="43" t="n"/>
      <c r="N915" s="43" t="n"/>
      <c r="O915" s="44" t="n"/>
      <c r="P915" s="45" t="n"/>
      <c r="Q915" s="45" t="n"/>
      <c r="S915" s="39" t="n"/>
    </row>
    <row r="916" ht="15.75" customHeight="1">
      <c r="F916" s="39" t="n"/>
      <c r="I916" s="40" t="n"/>
      <c r="J916" s="41" t="n"/>
      <c r="K916" s="41" t="n"/>
      <c r="L916" s="42" t="n"/>
      <c r="M916" s="43" t="n"/>
      <c r="N916" s="43" t="n"/>
      <c r="O916" s="44" t="n"/>
      <c r="P916" s="45" t="n"/>
      <c r="Q916" s="45" t="n"/>
      <c r="S916" s="39" t="n"/>
    </row>
    <row r="917" ht="15.75" customHeight="1">
      <c r="F917" s="39" t="n"/>
      <c r="I917" s="40" t="n"/>
      <c r="J917" s="41" t="n"/>
      <c r="K917" s="41" t="n"/>
      <c r="L917" s="42" t="n"/>
      <c r="M917" s="43" t="n"/>
      <c r="N917" s="43" t="n"/>
      <c r="O917" s="44" t="n"/>
      <c r="P917" s="45" t="n"/>
      <c r="Q917" s="45" t="n"/>
      <c r="S917" s="39" t="n"/>
    </row>
    <row r="918" ht="15.75" customHeight="1">
      <c r="F918" s="39" t="n"/>
      <c r="I918" s="40" t="n"/>
      <c r="J918" s="41" t="n"/>
      <c r="K918" s="41" t="n"/>
      <c r="L918" s="42" t="n"/>
      <c r="M918" s="43" t="n"/>
      <c r="N918" s="43" t="n"/>
      <c r="O918" s="44" t="n"/>
      <c r="P918" s="45" t="n"/>
      <c r="Q918" s="45" t="n"/>
      <c r="S918" s="39" t="n"/>
    </row>
    <row r="919" ht="15.75" customHeight="1">
      <c r="F919" s="39" t="n"/>
      <c r="I919" s="40" t="n"/>
      <c r="J919" s="41" t="n"/>
      <c r="K919" s="41" t="n"/>
      <c r="L919" s="42" t="n"/>
      <c r="M919" s="43" t="n"/>
      <c r="N919" s="43" t="n"/>
      <c r="O919" s="44" t="n"/>
      <c r="P919" s="45" t="n"/>
      <c r="Q919" s="45" t="n"/>
      <c r="S919" s="39" t="n"/>
    </row>
    <row r="920" ht="15.75" customHeight="1">
      <c r="F920" s="39" t="n"/>
      <c r="I920" s="40" t="n"/>
      <c r="J920" s="41" t="n"/>
      <c r="K920" s="41" t="n"/>
      <c r="L920" s="42" t="n"/>
      <c r="M920" s="43" t="n"/>
      <c r="N920" s="43" t="n"/>
      <c r="O920" s="44" t="n"/>
      <c r="P920" s="45" t="n"/>
      <c r="Q920" s="45" t="n"/>
      <c r="S920" s="39" t="n"/>
    </row>
    <row r="921" ht="15.75" customHeight="1">
      <c r="F921" s="39" t="n"/>
      <c r="I921" s="40" t="n"/>
      <c r="J921" s="41" t="n"/>
      <c r="K921" s="41" t="n"/>
      <c r="L921" s="42" t="n"/>
      <c r="M921" s="43" t="n"/>
      <c r="N921" s="43" t="n"/>
      <c r="O921" s="44" t="n"/>
      <c r="P921" s="45" t="n"/>
      <c r="Q921" s="45" t="n"/>
      <c r="S921" s="39" t="n"/>
    </row>
    <row r="922" ht="15.75" customHeight="1">
      <c r="F922" s="39" t="n"/>
      <c r="I922" s="40" t="n"/>
      <c r="J922" s="41" t="n"/>
      <c r="K922" s="41" t="n"/>
      <c r="L922" s="42" t="n"/>
      <c r="M922" s="43" t="n"/>
      <c r="N922" s="43" t="n"/>
      <c r="O922" s="44" t="n"/>
      <c r="P922" s="45" t="n"/>
      <c r="Q922" s="45" t="n"/>
      <c r="S922" s="39" t="n"/>
    </row>
    <row r="923" ht="15.75" customHeight="1">
      <c r="F923" s="39" t="n"/>
      <c r="I923" s="40" t="n"/>
      <c r="J923" s="41" t="n"/>
      <c r="K923" s="41" t="n"/>
      <c r="L923" s="42" t="n"/>
      <c r="M923" s="43" t="n"/>
      <c r="N923" s="43" t="n"/>
      <c r="O923" s="44" t="n"/>
      <c r="P923" s="45" t="n"/>
      <c r="Q923" s="45" t="n"/>
      <c r="S923" s="39" t="n"/>
    </row>
    <row r="924" ht="15.75" customHeight="1">
      <c r="F924" s="39" t="n"/>
      <c r="I924" s="40" t="n"/>
      <c r="J924" s="41" t="n"/>
      <c r="K924" s="41" t="n"/>
      <c r="L924" s="42" t="n"/>
      <c r="M924" s="43" t="n"/>
      <c r="N924" s="43" t="n"/>
      <c r="O924" s="44" t="n"/>
      <c r="P924" s="45" t="n"/>
      <c r="Q924" s="45" t="n"/>
      <c r="S924" s="39" t="n"/>
    </row>
    <row r="925" ht="15.75" customHeight="1">
      <c r="F925" s="39" t="n"/>
      <c r="I925" s="40" t="n"/>
      <c r="J925" s="41" t="n"/>
      <c r="K925" s="41" t="n"/>
      <c r="L925" s="42" t="n"/>
      <c r="M925" s="43" t="n"/>
      <c r="N925" s="43" t="n"/>
      <c r="O925" s="44" t="n"/>
      <c r="P925" s="45" t="n"/>
      <c r="Q925" s="45" t="n"/>
      <c r="S925" s="39" t="n"/>
    </row>
    <row r="926" ht="15.75" customHeight="1">
      <c r="F926" s="39" t="n"/>
      <c r="I926" s="40" t="n"/>
      <c r="J926" s="41" t="n"/>
      <c r="K926" s="41" t="n"/>
      <c r="L926" s="42" t="n"/>
      <c r="M926" s="43" t="n"/>
      <c r="N926" s="43" t="n"/>
      <c r="O926" s="44" t="n"/>
      <c r="P926" s="45" t="n"/>
      <c r="Q926" s="45" t="n"/>
      <c r="S926" s="39" t="n"/>
    </row>
    <row r="927" ht="15.75" customHeight="1">
      <c r="F927" s="39" t="n"/>
      <c r="I927" s="40" t="n"/>
      <c r="J927" s="41" t="n"/>
      <c r="K927" s="41" t="n"/>
      <c r="L927" s="42" t="n"/>
      <c r="M927" s="43" t="n"/>
      <c r="N927" s="43" t="n"/>
      <c r="O927" s="44" t="n"/>
      <c r="P927" s="45" t="n"/>
      <c r="Q927" s="45" t="n"/>
      <c r="S927" s="39" t="n"/>
    </row>
    <row r="928" ht="15.75" customHeight="1">
      <c r="F928" s="39" t="n"/>
      <c r="I928" s="40" t="n"/>
      <c r="J928" s="41" t="n"/>
      <c r="K928" s="41" t="n"/>
      <c r="L928" s="42" t="n"/>
      <c r="M928" s="43" t="n"/>
      <c r="N928" s="43" t="n"/>
      <c r="O928" s="44" t="n"/>
      <c r="P928" s="45" t="n"/>
      <c r="Q928" s="45" t="n"/>
      <c r="S928" s="39" t="n"/>
    </row>
    <row r="929" ht="15.75" customHeight="1">
      <c r="F929" s="39" t="n"/>
      <c r="I929" s="40" t="n"/>
      <c r="J929" s="41" t="n"/>
      <c r="K929" s="41" t="n"/>
      <c r="L929" s="42" t="n"/>
      <c r="M929" s="43" t="n"/>
      <c r="N929" s="43" t="n"/>
      <c r="O929" s="44" t="n"/>
      <c r="P929" s="45" t="n"/>
      <c r="Q929" s="45" t="n"/>
      <c r="S929" s="39" t="n"/>
    </row>
    <row r="930" ht="15.75" customHeight="1">
      <c r="F930" s="39" t="n"/>
      <c r="I930" s="40" t="n"/>
      <c r="J930" s="41" t="n"/>
      <c r="K930" s="41" t="n"/>
      <c r="L930" s="42" t="n"/>
      <c r="M930" s="43" t="n"/>
      <c r="N930" s="43" t="n"/>
      <c r="O930" s="44" t="n"/>
      <c r="P930" s="45" t="n"/>
      <c r="Q930" s="45" t="n"/>
      <c r="S930" s="39" t="n"/>
    </row>
    <row r="931" ht="15.75" customHeight="1">
      <c r="F931" s="39" t="n"/>
      <c r="I931" s="40" t="n"/>
      <c r="J931" s="41" t="n"/>
      <c r="K931" s="41" t="n"/>
      <c r="L931" s="42" t="n"/>
      <c r="M931" s="43" t="n"/>
      <c r="N931" s="43" t="n"/>
      <c r="O931" s="44" t="n"/>
      <c r="P931" s="45" t="n"/>
      <c r="Q931" s="45" t="n"/>
      <c r="S931" s="39" t="n"/>
    </row>
    <row r="932" ht="15.75" customHeight="1">
      <c r="F932" s="39" t="n"/>
      <c r="I932" s="40" t="n"/>
      <c r="J932" s="41" t="n"/>
      <c r="K932" s="41" t="n"/>
      <c r="L932" s="42" t="n"/>
      <c r="M932" s="43" t="n"/>
      <c r="N932" s="43" t="n"/>
      <c r="O932" s="44" t="n"/>
      <c r="P932" s="45" t="n"/>
      <c r="Q932" s="45" t="n"/>
      <c r="S932" s="39" t="n"/>
    </row>
    <row r="933" ht="15.75" customHeight="1">
      <c r="F933" s="39" t="n"/>
      <c r="I933" s="40" t="n"/>
      <c r="J933" s="41" t="n"/>
      <c r="K933" s="41" t="n"/>
      <c r="L933" s="42" t="n"/>
      <c r="M933" s="43" t="n"/>
      <c r="N933" s="43" t="n"/>
      <c r="O933" s="44" t="n"/>
      <c r="P933" s="45" t="n"/>
      <c r="Q933" s="45" t="n"/>
      <c r="S933" s="39" t="n"/>
    </row>
    <row r="934" ht="15.75" customHeight="1">
      <c r="F934" s="39" t="n"/>
      <c r="I934" s="40" t="n"/>
      <c r="J934" s="41" t="n"/>
      <c r="K934" s="41" t="n"/>
      <c r="L934" s="42" t="n"/>
      <c r="M934" s="43" t="n"/>
      <c r="N934" s="43" t="n"/>
      <c r="O934" s="44" t="n"/>
      <c r="P934" s="45" t="n"/>
      <c r="Q934" s="45" t="n"/>
      <c r="S934" s="39" t="n"/>
    </row>
    <row r="935" ht="15.75" customHeight="1">
      <c r="F935" s="39" t="n"/>
      <c r="I935" s="40" t="n"/>
      <c r="J935" s="41" t="n"/>
      <c r="K935" s="41" t="n"/>
      <c r="L935" s="42" t="n"/>
      <c r="M935" s="43" t="n"/>
      <c r="N935" s="43" t="n"/>
      <c r="O935" s="44" t="n"/>
      <c r="P935" s="45" t="n"/>
      <c r="Q935" s="45" t="n"/>
      <c r="S935" s="39" t="n"/>
    </row>
    <row r="936" ht="15.75" customHeight="1">
      <c r="F936" s="39" t="n"/>
      <c r="I936" s="40" t="n"/>
      <c r="J936" s="41" t="n"/>
      <c r="K936" s="41" t="n"/>
      <c r="L936" s="42" t="n"/>
      <c r="M936" s="43" t="n"/>
      <c r="N936" s="43" t="n"/>
      <c r="O936" s="44" t="n"/>
      <c r="P936" s="45" t="n"/>
      <c r="Q936" s="45" t="n"/>
      <c r="S936" s="39" t="n"/>
    </row>
    <row r="937" ht="15.75" customHeight="1">
      <c r="F937" s="39" t="n"/>
      <c r="I937" s="40" t="n"/>
      <c r="J937" s="41" t="n"/>
      <c r="K937" s="41" t="n"/>
      <c r="L937" s="42" t="n"/>
      <c r="M937" s="43" t="n"/>
      <c r="N937" s="43" t="n"/>
      <c r="O937" s="44" t="n"/>
      <c r="P937" s="45" t="n"/>
      <c r="Q937" s="45" t="n"/>
      <c r="S937" s="39" t="n"/>
    </row>
    <row r="938" ht="15.75" customHeight="1">
      <c r="F938" s="39" t="n"/>
      <c r="I938" s="40" t="n"/>
      <c r="J938" s="41" t="n"/>
      <c r="K938" s="41" t="n"/>
      <c r="L938" s="42" t="n"/>
      <c r="M938" s="43" t="n"/>
      <c r="N938" s="43" t="n"/>
      <c r="O938" s="44" t="n"/>
      <c r="P938" s="45" t="n"/>
      <c r="Q938" s="45" t="n"/>
      <c r="S938" s="39" t="n"/>
    </row>
    <row r="939" ht="15.75" customHeight="1">
      <c r="F939" s="39" t="n"/>
      <c r="I939" s="40" t="n"/>
      <c r="J939" s="41" t="n"/>
      <c r="K939" s="41" t="n"/>
      <c r="L939" s="42" t="n"/>
      <c r="M939" s="43" t="n"/>
      <c r="N939" s="43" t="n"/>
      <c r="O939" s="44" t="n"/>
      <c r="P939" s="45" t="n"/>
      <c r="Q939" s="45" t="n"/>
      <c r="S939" s="39" t="n"/>
    </row>
    <row r="940" ht="15.75" customHeight="1">
      <c r="F940" s="39" t="n"/>
      <c r="I940" s="40" t="n"/>
      <c r="J940" s="41" t="n"/>
      <c r="K940" s="41" t="n"/>
      <c r="L940" s="42" t="n"/>
      <c r="M940" s="43" t="n"/>
      <c r="N940" s="43" t="n"/>
      <c r="O940" s="44" t="n"/>
      <c r="P940" s="45" t="n"/>
      <c r="Q940" s="45" t="n"/>
      <c r="S940" s="39" t="n"/>
    </row>
    <row r="941" ht="15.75" customHeight="1">
      <c r="F941" s="39" t="n"/>
      <c r="I941" s="40" t="n"/>
      <c r="J941" s="41" t="n"/>
      <c r="K941" s="41" t="n"/>
      <c r="L941" s="42" t="n"/>
      <c r="M941" s="43" t="n"/>
      <c r="N941" s="43" t="n"/>
      <c r="O941" s="44" t="n"/>
      <c r="P941" s="45" t="n"/>
      <c r="Q941" s="45" t="n"/>
      <c r="S941" s="39" t="n"/>
    </row>
    <row r="942" ht="15.75" customHeight="1">
      <c r="F942" s="39" t="n"/>
      <c r="I942" s="40" t="n"/>
      <c r="J942" s="41" t="n"/>
      <c r="K942" s="41" t="n"/>
      <c r="L942" s="42" t="n"/>
      <c r="M942" s="43" t="n"/>
      <c r="N942" s="43" t="n"/>
      <c r="O942" s="44" t="n"/>
      <c r="P942" s="45" t="n"/>
      <c r="Q942" s="45" t="n"/>
      <c r="S942" s="39" t="n"/>
    </row>
    <row r="943" ht="15.75" customHeight="1">
      <c r="F943" s="39" t="n"/>
      <c r="I943" s="40" t="n"/>
      <c r="J943" s="41" t="n"/>
      <c r="K943" s="41" t="n"/>
      <c r="L943" s="42" t="n"/>
      <c r="M943" s="43" t="n"/>
      <c r="N943" s="43" t="n"/>
      <c r="O943" s="44" t="n"/>
      <c r="P943" s="45" t="n"/>
      <c r="Q943" s="45" t="n"/>
      <c r="S943" s="39" t="n"/>
    </row>
    <row r="944" ht="15.75" customHeight="1">
      <c r="F944" s="39" t="n"/>
      <c r="I944" s="40" t="n"/>
      <c r="J944" s="41" t="n"/>
      <c r="K944" s="41" t="n"/>
      <c r="L944" s="42" t="n"/>
      <c r="M944" s="43" t="n"/>
      <c r="N944" s="43" t="n"/>
      <c r="O944" s="44" t="n"/>
      <c r="P944" s="45" t="n"/>
      <c r="Q944" s="45" t="n"/>
      <c r="S944" s="39" t="n"/>
    </row>
    <row r="945" ht="15.75" customHeight="1">
      <c r="F945" s="39" t="n"/>
      <c r="I945" s="40" t="n"/>
      <c r="J945" s="41" t="n"/>
      <c r="K945" s="41" t="n"/>
      <c r="L945" s="42" t="n"/>
      <c r="M945" s="43" t="n"/>
      <c r="N945" s="43" t="n"/>
      <c r="O945" s="44" t="n"/>
      <c r="P945" s="45" t="n"/>
      <c r="Q945" s="45" t="n"/>
      <c r="S945" s="39" t="n"/>
    </row>
    <row r="946" ht="15.75" customHeight="1">
      <c r="F946" s="39" t="n"/>
      <c r="I946" s="40" t="n"/>
      <c r="J946" s="41" t="n"/>
      <c r="K946" s="41" t="n"/>
      <c r="L946" s="42" t="n"/>
      <c r="M946" s="43" t="n"/>
      <c r="N946" s="43" t="n"/>
      <c r="O946" s="44" t="n"/>
      <c r="P946" s="45" t="n"/>
      <c r="Q946" s="45" t="n"/>
      <c r="S946" s="39" t="n"/>
    </row>
    <row r="947" ht="15.75" customHeight="1">
      <c r="F947" s="39" t="n"/>
      <c r="I947" s="40" t="n"/>
      <c r="J947" s="41" t="n"/>
      <c r="K947" s="41" t="n"/>
      <c r="L947" s="42" t="n"/>
      <c r="M947" s="43" t="n"/>
      <c r="N947" s="43" t="n"/>
      <c r="O947" s="44" t="n"/>
      <c r="P947" s="45" t="n"/>
      <c r="Q947" s="45" t="n"/>
      <c r="S947" s="39" t="n"/>
    </row>
    <row r="948" ht="15.75" customHeight="1">
      <c r="F948" s="39" t="n"/>
      <c r="I948" s="40" t="n"/>
      <c r="J948" s="41" t="n"/>
      <c r="K948" s="41" t="n"/>
      <c r="L948" s="42" t="n"/>
      <c r="M948" s="43" t="n"/>
      <c r="N948" s="43" t="n"/>
      <c r="O948" s="44" t="n"/>
      <c r="P948" s="45" t="n"/>
      <c r="Q948" s="45" t="n"/>
      <c r="S948" s="39" t="n"/>
    </row>
    <row r="949" ht="15.75" customHeight="1">
      <c r="F949" s="39" t="n"/>
      <c r="I949" s="40" t="n"/>
      <c r="J949" s="41" t="n"/>
      <c r="K949" s="41" t="n"/>
      <c r="L949" s="42" t="n"/>
      <c r="M949" s="43" t="n"/>
      <c r="N949" s="43" t="n"/>
      <c r="O949" s="44" t="n"/>
      <c r="P949" s="45" t="n"/>
      <c r="Q949" s="45" t="n"/>
      <c r="S949" s="39" t="n"/>
    </row>
    <row r="950" ht="15.75" customHeight="1">
      <c r="F950" s="39" t="n"/>
      <c r="I950" s="40" t="n"/>
      <c r="J950" s="41" t="n"/>
      <c r="K950" s="41" t="n"/>
      <c r="L950" s="42" t="n"/>
      <c r="M950" s="43" t="n"/>
      <c r="N950" s="43" t="n"/>
      <c r="O950" s="44" t="n"/>
      <c r="P950" s="45" t="n"/>
      <c r="Q950" s="45" t="n"/>
      <c r="S950" s="39" t="n"/>
    </row>
    <row r="951" ht="15.75" customHeight="1">
      <c r="F951" s="39" t="n"/>
      <c r="I951" s="40" t="n"/>
      <c r="J951" s="41" t="n"/>
      <c r="K951" s="41" t="n"/>
      <c r="L951" s="42" t="n"/>
      <c r="M951" s="43" t="n"/>
      <c r="N951" s="43" t="n"/>
      <c r="O951" s="44" t="n"/>
      <c r="P951" s="45" t="n"/>
      <c r="Q951" s="45" t="n"/>
      <c r="S951" s="39" t="n"/>
    </row>
    <row r="952" ht="15.75" customHeight="1">
      <c r="F952" s="39" t="n"/>
      <c r="I952" s="40" t="n"/>
      <c r="J952" s="41" t="n"/>
      <c r="K952" s="41" t="n"/>
      <c r="L952" s="42" t="n"/>
      <c r="M952" s="43" t="n"/>
      <c r="N952" s="43" t="n"/>
      <c r="O952" s="44" t="n"/>
      <c r="P952" s="45" t="n"/>
      <c r="Q952" s="45" t="n"/>
      <c r="S952" s="39" t="n"/>
    </row>
    <row r="953" ht="15.75" customHeight="1">
      <c r="F953" s="39" t="n"/>
      <c r="I953" s="40" t="n"/>
      <c r="J953" s="41" t="n"/>
      <c r="K953" s="41" t="n"/>
      <c r="L953" s="42" t="n"/>
      <c r="M953" s="43" t="n"/>
      <c r="N953" s="43" t="n"/>
      <c r="O953" s="44" t="n"/>
      <c r="P953" s="45" t="n"/>
      <c r="Q953" s="45" t="n"/>
      <c r="S953" s="39" t="n"/>
    </row>
    <row r="954" ht="15.75" customHeight="1">
      <c r="F954" s="39" t="n"/>
      <c r="I954" s="40" t="n"/>
      <c r="J954" s="41" t="n"/>
      <c r="K954" s="41" t="n"/>
      <c r="L954" s="42" t="n"/>
      <c r="M954" s="43" t="n"/>
      <c r="N954" s="43" t="n"/>
      <c r="O954" s="44" t="n"/>
      <c r="P954" s="45" t="n"/>
      <c r="Q954" s="45" t="n"/>
      <c r="S954" s="39" t="n"/>
    </row>
    <row r="955" ht="15.75" customHeight="1">
      <c r="F955" s="39" t="n"/>
      <c r="I955" s="40" t="n"/>
      <c r="J955" s="41" t="n"/>
      <c r="K955" s="41" t="n"/>
      <c r="L955" s="42" t="n"/>
      <c r="M955" s="43" t="n"/>
      <c r="N955" s="43" t="n"/>
      <c r="O955" s="44" t="n"/>
      <c r="P955" s="45" t="n"/>
      <c r="Q955" s="45" t="n"/>
      <c r="S955" s="39" t="n"/>
    </row>
    <row r="956" ht="15.75" customHeight="1">
      <c r="F956" s="39" t="n"/>
      <c r="I956" s="40" t="n"/>
      <c r="J956" s="41" t="n"/>
      <c r="K956" s="41" t="n"/>
      <c r="L956" s="42" t="n"/>
      <c r="M956" s="43" t="n"/>
      <c r="N956" s="43" t="n"/>
      <c r="O956" s="44" t="n"/>
      <c r="P956" s="45" t="n"/>
      <c r="Q956" s="45" t="n"/>
      <c r="S956" s="39" t="n"/>
    </row>
    <row r="957" ht="15.75" customHeight="1">
      <c r="F957" s="39" t="n"/>
      <c r="I957" s="40" t="n"/>
      <c r="J957" s="41" t="n"/>
      <c r="K957" s="41" t="n"/>
      <c r="L957" s="42" t="n"/>
      <c r="M957" s="43" t="n"/>
      <c r="N957" s="43" t="n"/>
      <c r="O957" s="44" t="n"/>
      <c r="P957" s="45" t="n"/>
      <c r="Q957" s="45" t="n"/>
      <c r="S957" s="39" t="n"/>
    </row>
    <row r="958" ht="15.75" customHeight="1">
      <c r="F958" s="39" t="n"/>
      <c r="I958" s="40" t="n"/>
      <c r="J958" s="41" t="n"/>
      <c r="K958" s="41" t="n"/>
      <c r="L958" s="42" t="n"/>
      <c r="M958" s="43" t="n"/>
      <c r="N958" s="43" t="n"/>
      <c r="O958" s="44" t="n"/>
      <c r="P958" s="45" t="n"/>
      <c r="Q958" s="45" t="n"/>
      <c r="S958" s="39" t="n"/>
    </row>
    <row r="959" ht="15.75" customHeight="1">
      <c r="F959" s="39" t="n"/>
      <c r="I959" s="40" t="n"/>
      <c r="J959" s="41" t="n"/>
      <c r="K959" s="41" t="n"/>
      <c r="L959" s="42" t="n"/>
      <c r="M959" s="43" t="n"/>
      <c r="N959" s="43" t="n"/>
      <c r="O959" s="44" t="n"/>
      <c r="P959" s="45" t="n"/>
      <c r="Q959" s="45" t="n"/>
      <c r="S959" s="39" t="n"/>
    </row>
    <row r="960" ht="15.75" customHeight="1">
      <c r="F960" s="39" t="n"/>
      <c r="I960" s="40" t="n"/>
      <c r="J960" s="41" t="n"/>
      <c r="K960" s="41" t="n"/>
      <c r="L960" s="42" t="n"/>
      <c r="M960" s="43" t="n"/>
      <c r="N960" s="43" t="n"/>
      <c r="O960" s="44" t="n"/>
      <c r="P960" s="45" t="n"/>
      <c r="Q960" s="45" t="n"/>
      <c r="S960" s="39" t="n"/>
    </row>
    <row r="961" ht="15.75" customHeight="1">
      <c r="F961" s="39" t="n"/>
      <c r="I961" s="40" t="n"/>
      <c r="J961" s="41" t="n"/>
      <c r="K961" s="41" t="n"/>
      <c r="L961" s="42" t="n"/>
      <c r="M961" s="43" t="n"/>
      <c r="N961" s="43" t="n"/>
      <c r="O961" s="44" t="n"/>
      <c r="P961" s="45" t="n"/>
      <c r="Q961" s="45" t="n"/>
      <c r="S961" s="39" t="n"/>
    </row>
    <row r="962" ht="15.75" customHeight="1">
      <c r="F962" s="39" t="n"/>
      <c r="I962" s="40" t="n"/>
      <c r="J962" s="41" t="n"/>
      <c r="K962" s="41" t="n"/>
      <c r="L962" s="42" t="n"/>
      <c r="M962" s="43" t="n"/>
      <c r="N962" s="43" t="n"/>
      <c r="O962" s="44" t="n"/>
      <c r="P962" s="45" t="n"/>
      <c r="Q962" s="45" t="n"/>
      <c r="S962" s="39" t="n"/>
    </row>
    <row r="963" ht="15.75" customHeight="1">
      <c r="F963" s="39" t="n"/>
      <c r="I963" s="40" t="n"/>
      <c r="J963" s="41" t="n"/>
      <c r="K963" s="41" t="n"/>
      <c r="L963" s="42" t="n"/>
      <c r="M963" s="43" t="n"/>
      <c r="N963" s="43" t="n"/>
      <c r="O963" s="44" t="n"/>
      <c r="P963" s="45" t="n"/>
      <c r="Q963" s="45" t="n"/>
      <c r="S963" s="39" t="n"/>
    </row>
    <row r="964" ht="15.75" customHeight="1">
      <c r="F964" s="39" t="n"/>
      <c r="I964" s="40" t="n"/>
      <c r="J964" s="41" t="n"/>
      <c r="K964" s="41" t="n"/>
      <c r="L964" s="42" t="n"/>
      <c r="M964" s="43" t="n"/>
      <c r="N964" s="43" t="n"/>
      <c r="O964" s="44" t="n"/>
      <c r="P964" s="45" t="n"/>
      <c r="Q964" s="45" t="n"/>
      <c r="S964" s="39" t="n"/>
    </row>
    <row r="965" ht="15.75" customHeight="1">
      <c r="F965" s="39" t="n"/>
      <c r="I965" s="40" t="n"/>
      <c r="J965" s="41" t="n"/>
      <c r="K965" s="41" t="n"/>
      <c r="L965" s="42" t="n"/>
      <c r="M965" s="43" t="n"/>
      <c r="N965" s="43" t="n"/>
      <c r="O965" s="44" t="n"/>
      <c r="P965" s="45" t="n"/>
      <c r="Q965" s="45" t="n"/>
      <c r="S965" s="39" t="n"/>
    </row>
    <row r="966" ht="15.75" customHeight="1">
      <c r="F966" s="39" t="n"/>
      <c r="I966" s="40" t="n"/>
      <c r="J966" s="41" t="n"/>
      <c r="K966" s="41" t="n"/>
      <c r="L966" s="42" t="n"/>
      <c r="M966" s="43" t="n"/>
      <c r="N966" s="43" t="n"/>
      <c r="O966" s="44" t="n"/>
      <c r="P966" s="45" t="n"/>
      <c r="Q966" s="45" t="n"/>
      <c r="S966" s="39" t="n"/>
    </row>
    <row r="967" ht="15.75" customHeight="1">
      <c r="F967" s="39" t="n"/>
      <c r="I967" s="40" t="n"/>
      <c r="J967" s="41" t="n"/>
      <c r="K967" s="41" t="n"/>
      <c r="L967" s="42" t="n"/>
      <c r="M967" s="43" t="n"/>
      <c r="N967" s="43" t="n"/>
      <c r="O967" s="44" t="n"/>
      <c r="P967" s="45" t="n"/>
      <c r="Q967" s="45" t="n"/>
      <c r="S967" s="39" t="n"/>
    </row>
    <row r="968" ht="15.75" customHeight="1">
      <c r="F968" s="39" t="n"/>
      <c r="I968" s="40" t="n"/>
      <c r="J968" s="41" t="n"/>
      <c r="K968" s="41" t="n"/>
      <c r="L968" s="42" t="n"/>
      <c r="M968" s="43" t="n"/>
      <c r="N968" s="43" t="n"/>
      <c r="O968" s="44" t="n"/>
      <c r="P968" s="45" t="n"/>
      <c r="Q968" s="45" t="n"/>
      <c r="S968" s="39" t="n"/>
    </row>
    <row r="969" ht="15.75" customHeight="1">
      <c r="F969" s="39" t="n"/>
      <c r="I969" s="40" t="n"/>
      <c r="J969" s="41" t="n"/>
      <c r="K969" s="41" t="n"/>
      <c r="L969" s="42" t="n"/>
      <c r="M969" s="43" t="n"/>
      <c r="N969" s="43" t="n"/>
      <c r="O969" s="44" t="n"/>
      <c r="P969" s="45" t="n"/>
      <c r="Q969" s="45" t="n"/>
      <c r="S969" s="39" t="n"/>
    </row>
    <row r="970" ht="15.75" customHeight="1">
      <c r="F970" s="39" t="n"/>
      <c r="I970" s="40" t="n"/>
      <c r="J970" s="41" t="n"/>
      <c r="K970" s="41" t="n"/>
      <c r="L970" s="42" t="n"/>
      <c r="M970" s="43" t="n"/>
      <c r="N970" s="43" t="n"/>
      <c r="O970" s="44" t="n"/>
      <c r="P970" s="45" t="n"/>
      <c r="Q970" s="45" t="n"/>
      <c r="S970" s="39" t="n"/>
    </row>
    <row r="971" ht="15.75" customHeight="1">
      <c r="F971" s="39" t="n"/>
      <c r="I971" s="40" t="n"/>
      <c r="J971" s="41" t="n"/>
      <c r="K971" s="41" t="n"/>
      <c r="L971" s="42" t="n"/>
      <c r="M971" s="43" t="n"/>
      <c r="N971" s="43" t="n"/>
      <c r="O971" s="44" t="n"/>
      <c r="P971" s="45" t="n"/>
      <c r="Q971" s="45" t="n"/>
      <c r="S971" s="39" t="n"/>
    </row>
    <row r="972" ht="15.75" customHeight="1">
      <c r="F972" s="39" t="n"/>
      <c r="I972" s="40" t="n"/>
      <c r="J972" s="41" t="n"/>
      <c r="K972" s="41" t="n"/>
      <c r="L972" s="42" t="n"/>
      <c r="M972" s="43" t="n"/>
      <c r="N972" s="43" t="n"/>
      <c r="O972" s="44" t="n"/>
      <c r="P972" s="45" t="n"/>
      <c r="Q972" s="45" t="n"/>
      <c r="S972" s="39" t="n"/>
    </row>
    <row r="973" ht="15.75" customHeight="1">
      <c r="F973" s="39" t="n"/>
      <c r="I973" s="40" t="n"/>
      <c r="J973" s="41" t="n"/>
      <c r="K973" s="41" t="n"/>
      <c r="L973" s="42" t="n"/>
      <c r="M973" s="43" t="n"/>
      <c r="N973" s="43" t="n"/>
      <c r="O973" s="44" t="n"/>
      <c r="P973" s="45" t="n"/>
      <c r="Q973" s="45" t="n"/>
      <c r="S973" s="39" t="n"/>
    </row>
    <row r="974" ht="15.75" customHeight="1">
      <c r="F974" s="39" t="n"/>
      <c r="I974" s="40" t="n"/>
      <c r="J974" s="41" t="n"/>
      <c r="K974" s="41" t="n"/>
      <c r="L974" s="42" t="n"/>
      <c r="M974" s="43" t="n"/>
      <c r="N974" s="43" t="n"/>
      <c r="O974" s="44" t="n"/>
      <c r="P974" s="45" t="n"/>
      <c r="Q974" s="45" t="n"/>
      <c r="S974" s="39" t="n"/>
    </row>
    <row r="975" ht="15.75" customHeight="1">
      <c r="F975" s="39" t="n"/>
      <c r="I975" s="40" t="n"/>
      <c r="J975" s="41" t="n"/>
      <c r="K975" s="41" t="n"/>
      <c r="L975" s="42" t="n"/>
      <c r="M975" s="43" t="n"/>
      <c r="N975" s="43" t="n"/>
      <c r="O975" s="44" t="n"/>
      <c r="P975" s="45" t="n"/>
      <c r="Q975" s="45" t="n"/>
      <c r="S975" s="39" t="n"/>
    </row>
    <row r="976" ht="15.75" customHeight="1">
      <c r="F976" s="39" t="n"/>
      <c r="I976" s="40" t="n"/>
      <c r="J976" s="41" t="n"/>
      <c r="K976" s="41" t="n"/>
      <c r="L976" s="42" t="n"/>
      <c r="M976" s="43" t="n"/>
      <c r="N976" s="43" t="n"/>
      <c r="O976" s="44" t="n"/>
      <c r="P976" s="45" t="n"/>
      <c r="Q976" s="45" t="n"/>
      <c r="S976" s="39" t="n"/>
    </row>
    <row r="977" ht="15.75" customHeight="1">
      <c r="F977" s="39" t="n"/>
      <c r="I977" s="40" t="n"/>
      <c r="J977" s="41" t="n"/>
      <c r="K977" s="41" t="n"/>
      <c r="L977" s="42" t="n"/>
      <c r="M977" s="43" t="n"/>
      <c r="N977" s="43" t="n"/>
      <c r="O977" s="44" t="n"/>
      <c r="P977" s="45" t="n"/>
      <c r="Q977" s="45" t="n"/>
      <c r="S977" s="39" t="n"/>
    </row>
    <row r="978" ht="15.75" customHeight="1">
      <c r="F978" s="39" t="n"/>
      <c r="I978" s="40" t="n"/>
      <c r="J978" s="41" t="n"/>
      <c r="K978" s="41" t="n"/>
      <c r="L978" s="42" t="n"/>
      <c r="M978" s="43" t="n"/>
      <c r="N978" s="43" t="n"/>
      <c r="O978" s="44" t="n"/>
      <c r="P978" s="45" t="n"/>
      <c r="Q978" s="45" t="n"/>
      <c r="S978" s="39" t="n"/>
    </row>
    <row r="979" ht="15.75" customHeight="1">
      <c r="F979" s="39" t="n"/>
      <c r="I979" s="40" t="n"/>
      <c r="J979" s="41" t="n"/>
      <c r="K979" s="41" t="n"/>
      <c r="L979" s="42" t="n"/>
      <c r="M979" s="43" t="n"/>
      <c r="N979" s="43" t="n"/>
      <c r="O979" s="44" t="n"/>
      <c r="P979" s="45" t="n"/>
      <c r="Q979" s="45" t="n"/>
      <c r="S979" s="39" t="n"/>
    </row>
    <row r="980" ht="15.75" customHeight="1">
      <c r="F980" s="39" t="n"/>
      <c r="I980" s="40" t="n"/>
      <c r="J980" s="41" t="n"/>
      <c r="K980" s="41" t="n"/>
      <c r="L980" s="42" t="n"/>
      <c r="M980" s="43" t="n"/>
      <c r="N980" s="43" t="n"/>
      <c r="O980" s="44" t="n"/>
      <c r="P980" s="45" t="n"/>
      <c r="Q980" s="45" t="n"/>
      <c r="S980" s="39" t="n"/>
    </row>
    <row r="981" ht="15.75" customHeight="1">
      <c r="F981" s="39" t="n"/>
      <c r="I981" s="40" t="n"/>
      <c r="J981" s="41" t="n"/>
      <c r="K981" s="41" t="n"/>
      <c r="L981" s="42" t="n"/>
      <c r="M981" s="43" t="n"/>
      <c r="N981" s="43" t="n"/>
      <c r="O981" s="44" t="n"/>
      <c r="P981" s="45" t="n"/>
      <c r="Q981" s="45" t="n"/>
      <c r="S981" s="39" t="n"/>
    </row>
    <row r="982" ht="15.75" customHeight="1">
      <c r="F982" s="39" t="n"/>
      <c r="I982" s="40" t="n"/>
      <c r="J982" s="41" t="n"/>
      <c r="K982" s="41" t="n"/>
      <c r="L982" s="42" t="n"/>
      <c r="M982" s="43" t="n"/>
      <c r="N982" s="43" t="n"/>
      <c r="O982" s="44" t="n"/>
      <c r="P982" s="45" t="n"/>
      <c r="Q982" s="45" t="n"/>
      <c r="S982" s="39" t="n"/>
    </row>
    <row r="983" ht="15.75" customHeight="1">
      <c r="F983" s="39" t="n"/>
      <c r="I983" s="40" t="n"/>
      <c r="J983" s="41" t="n"/>
      <c r="K983" s="41" t="n"/>
      <c r="L983" s="42" t="n"/>
      <c r="M983" s="43" t="n"/>
      <c r="N983" s="43" t="n"/>
      <c r="O983" s="44" t="n"/>
      <c r="P983" s="45" t="n"/>
      <c r="Q983" s="45" t="n"/>
      <c r="S983" s="39" t="n"/>
    </row>
    <row r="984" ht="15.75" customHeight="1">
      <c r="F984" s="39" t="n"/>
      <c r="I984" s="40" t="n"/>
      <c r="J984" s="41" t="n"/>
      <c r="K984" s="41" t="n"/>
      <c r="L984" s="42" t="n"/>
      <c r="M984" s="43" t="n"/>
      <c r="N984" s="43" t="n"/>
      <c r="O984" s="44" t="n"/>
      <c r="P984" s="45" t="n"/>
      <c r="Q984" s="45" t="n"/>
      <c r="S984" s="39" t="n"/>
    </row>
    <row r="985" ht="15.75" customHeight="1">
      <c r="F985" s="39" t="n"/>
      <c r="I985" s="40" t="n"/>
      <c r="J985" s="41" t="n"/>
      <c r="K985" s="41" t="n"/>
      <c r="L985" s="42" t="n"/>
      <c r="M985" s="43" t="n"/>
      <c r="N985" s="43" t="n"/>
      <c r="O985" s="44" t="n"/>
      <c r="P985" s="45" t="n"/>
      <c r="Q985" s="45" t="n"/>
      <c r="S985" s="39" t="n"/>
    </row>
    <row r="986" ht="15.75" customHeight="1">
      <c r="F986" s="39" t="n"/>
      <c r="I986" s="40" t="n"/>
      <c r="J986" s="41" t="n"/>
      <c r="K986" s="41" t="n"/>
      <c r="L986" s="42" t="n"/>
      <c r="M986" s="43" t="n"/>
      <c r="N986" s="43" t="n"/>
      <c r="O986" s="44" t="n"/>
      <c r="P986" s="45" t="n"/>
      <c r="Q986" s="45" t="n"/>
      <c r="S986" s="39" t="n"/>
    </row>
    <row r="987" ht="15.75" customHeight="1">
      <c r="F987" s="39" t="n"/>
      <c r="I987" s="40" t="n"/>
      <c r="J987" s="41" t="n"/>
      <c r="K987" s="41" t="n"/>
      <c r="L987" s="42" t="n"/>
      <c r="M987" s="43" t="n"/>
      <c r="N987" s="43" t="n"/>
      <c r="O987" s="44" t="n"/>
      <c r="P987" s="45" t="n"/>
      <c r="Q987" s="45" t="n"/>
      <c r="S987" s="39" t="n"/>
    </row>
    <row r="988" ht="15.75" customHeight="1">
      <c r="F988" s="39" t="n"/>
      <c r="I988" s="40" t="n"/>
      <c r="J988" s="41" t="n"/>
      <c r="K988" s="41" t="n"/>
      <c r="L988" s="42" t="n"/>
      <c r="M988" s="43" t="n"/>
      <c r="N988" s="43" t="n"/>
      <c r="O988" s="44" t="n"/>
      <c r="P988" s="45" t="n"/>
      <c r="Q988" s="45" t="n"/>
      <c r="S988" s="39" t="n"/>
    </row>
    <row r="989" ht="15.75" customHeight="1">
      <c r="F989" s="39" t="n"/>
      <c r="I989" s="40" t="n"/>
      <c r="J989" s="41" t="n"/>
      <c r="K989" s="41" t="n"/>
      <c r="L989" s="42" t="n"/>
      <c r="M989" s="43" t="n"/>
      <c r="N989" s="43" t="n"/>
      <c r="O989" s="44" t="n"/>
      <c r="P989" s="45" t="n"/>
      <c r="Q989" s="45" t="n"/>
      <c r="S989" s="39" t="n"/>
    </row>
    <row r="990" ht="15.75" customHeight="1">
      <c r="F990" s="39" t="n"/>
      <c r="I990" s="40" t="n"/>
      <c r="J990" s="41" t="n"/>
      <c r="K990" s="41" t="n"/>
      <c r="L990" s="42" t="n"/>
      <c r="M990" s="43" t="n"/>
      <c r="N990" s="43" t="n"/>
      <c r="O990" s="44" t="n"/>
      <c r="P990" s="45" t="n"/>
      <c r="Q990" s="45" t="n"/>
      <c r="S990" s="39" t="n"/>
    </row>
    <row r="991" ht="15.75" customHeight="1">
      <c r="F991" s="39" t="n"/>
      <c r="I991" s="40" t="n"/>
      <c r="J991" s="41" t="n"/>
      <c r="K991" s="41" t="n"/>
      <c r="L991" s="42" t="n"/>
      <c r="M991" s="43" t="n"/>
      <c r="N991" s="43" t="n"/>
      <c r="O991" s="44" t="n"/>
      <c r="P991" s="45" t="n"/>
      <c r="Q991" s="45" t="n"/>
      <c r="S991" s="39" t="n"/>
    </row>
    <row r="992" ht="15.75" customHeight="1">
      <c r="F992" s="39" t="n"/>
      <c r="I992" s="40" t="n"/>
      <c r="J992" s="41" t="n"/>
      <c r="K992" s="41" t="n"/>
      <c r="L992" s="42" t="n"/>
      <c r="M992" s="43" t="n"/>
      <c r="N992" s="43" t="n"/>
      <c r="O992" s="44" t="n"/>
      <c r="P992" s="45" t="n"/>
      <c r="Q992" s="45" t="n"/>
      <c r="S992" s="39" t="n"/>
    </row>
    <row r="993" ht="15.75" customHeight="1">
      <c r="F993" s="39" t="n"/>
      <c r="I993" s="40" t="n"/>
      <c r="J993" s="41" t="n"/>
      <c r="K993" s="41" t="n"/>
      <c r="L993" s="42" t="n"/>
      <c r="M993" s="43" t="n"/>
      <c r="N993" s="43" t="n"/>
      <c r="O993" s="44" t="n"/>
      <c r="P993" s="45" t="n"/>
      <c r="Q993" s="45" t="n"/>
      <c r="S993" s="39" t="n"/>
    </row>
    <row r="994" ht="15.75" customHeight="1">
      <c r="F994" s="39" t="n"/>
      <c r="I994" s="40" t="n"/>
      <c r="J994" s="41" t="n"/>
      <c r="K994" s="41" t="n"/>
      <c r="L994" s="42" t="n"/>
      <c r="M994" s="43" t="n"/>
      <c r="N994" s="43" t="n"/>
      <c r="O994" s="44" t="n"/>
      <c r="P994" s="45" t="n"/>
      <c r="Q994" s="45" t="n"/>
      <c r="S994" s="39" t="n"/>
    </row>
    <row r="995" ht="15.75" customHeight="1">
      <c r="F995" s="39" t="n"/>
      <c r="I995" s="40" t="n"/>
      <c r="J995" s="41" t="n"/>
      <c r="K995" s="41" t="n"/>
      <c r="L995" s="42" t="n"/>
      <c r="M995" s="43" t="n"/>
      <c r="N995" s="43" t="n"/>
      <c r="O995" s="44" t="n"/>
      <c r="P995" s="45" t="n"/>
      <c r="Q995" s="45" t="n"/>
      <c r="S995" s="39" t="n"/>
    </row>
    <row r="996" ht="15.75" customHeight="1">
      <c r="F996" s="39" t="n"/>
      <c r="I996" s="40" t="n"/>
      <c r="J996" s="41" t="n"/>
      <c r="K996" s="41" t="n"/>
      <c r="L996" s="42" t="n"/>
      <c r="M996" s="43" t="n"/>
      <c r="N996" s="43" t="n"/>
      <c r="O996" s="44" t="n"/>
      <c r="P996" s="45" t="n"/>
      <c r="Q996" s="45" t="n"/>
      <c r="S996" s="39" t="n"/>
    </row>
    <row r="997" ht="15.75" customHeight="1">
      <c r="F997" s="39" t="n"/>
      <c r="I997" s="40" t="n"/>
      <c r="J997" s="41" t="n"/>
      <c r="K997" s="41" t="n"/>
      <c r="L997" s="42" t="n"/>
      <c r="M997" s="43" t="n"/>
      <c r="N997" s="43" t="n"/>
      <c r="O997" s="44" t="n"/>
      <c r="P997" s="45" t="n"/>
      <c r="Q997" s="45" t="n"/>
      <c r="S997" s="39" t="n"/>
    </row>
    <row r="998" ht="15.75" customHeight="1">
      <c r="F998" s="39" t="n"/>
      <c r="I998" s="40" t="n"/>
      <c r="J998" s="41" t="n"/>
      <c r="K998" s="41" t="n"/>
      <c r="L998" s="42" t="n"/>
      <c r="M998" s="43" t="n"/>
      <c r="N998" s="43" t="n"/>
      <c r="O998" s="44" t="n"/>
      <c r="P998" s="45" t="n"/>
      <c r="Q998" s="45" t="n"/>
      <c r="S998" s="39" t="n"/>
    </row>
    <row r="999" ht="15.75" customHeight="1">
      <c r="F999" s="39" t="n"/>
      <c r="I999" s="40" t="n"/>
      <c r="J999" s="41" t="n"/>
      <c r="K999" s="41" t="n"/>
      <c r="L999" s="42" t="n"/>
      <c r="M999" s="43" t="n"/>
      <c r="N999" s="43" t="n"/>
      <c r="O999" s="44" t="n"/>
      <c r="P999" s="45" t="n"/>
      <c r="Q999" s="45" t="n"/>
      <c r="S999" s="39" t="n"/>
    </row>
    <row r="1000" ht="15.75" customHeight="1">
      <c r="F1000" s="39" t="n"/>
      <c r="I1000" s="40" t="n"/>
      <c r="J1000" s="41" t="n"/>
      <c r="K1000" s="41" t="n"/>
      <c r="L1000" s="42" t="n"/>
      <c r="M1000" s="43" t="n"/>
      <c r="N1000" s="43" t="n"/>
      <c r="O1000" s="44" t="n"/>
      <c r="P1000" s="45" t="n"/>
      <c r="Q1000" s="45" t="n"/>
      <c r="S1000" s="39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</hyperlink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2024-07-29T12:51:18Z</dcterms:created>
  <dcterms:modified xsi:type="dcterms:W3CDTF">2026-03-13T13:42:55Z</dcterms:modified>
  <cp:lastModifiedBy>Özenç Çelik</cp:lastModifiedBy>
</cp:coreProperties>
</file>