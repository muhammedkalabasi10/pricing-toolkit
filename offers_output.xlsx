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officeDocument/2006/relationships/extended-properties" Target="docProps/app.xml" /><Relationship Id="rId3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:x15="http://schemas.microsoft.com/office/spreadsheetml/2010/11/main" xmlns="http://schemas.openxmlformats.org/spreadsheetml/2006/main">
  <mc:AlternateContent xmlns:mc="http://schemas.openxmlformats.org/markup-compatibility/2006">
    <mc:Choice Requires="x15">
      <x15ac:absPath xmlns:x15ac="http://schemas.microsoft.com/office/spreadsheetml/2010/11/ac" url="C:\Users\User\Desktop\DARK VELVET\Dark Velvet Programs\"/>
    </mc:Choice>
  </mc:AlternateContent>
  <bookViews>
    <workbookView xWindow="0" yWindow="660" windowWidth="34560" windowHeight="19940" activeTab="1"/>
  </bookViews>
  <sheets>
    <sheet name="Açıklama" sheetId="1" r:id="rId1"/>
    <sheet name="Teklifler" sheetId="2" r:id="rId2"/>
  </sheets>
  <calcPr/>
</workbook>
</file>

<file path=xl/calcChain.xml><?xml version="1.0" encoding="utf-8"?>
<calcChain xmlns="http://schemas.openxmlformats.org/spreadsheetml/2006/main">
  <c i="2" l="1" r="T60"/>
  <c r="T59"/>
  <c r="T58"/>
  <c r="T57"/>
  <c r="T56"/>
  <c r="T55"/>
  <c r="T54"/>
  <c r="T53"/>
  <c r="T52"/>
  <c r="T51"/>
  <c r="T50"/>
  <c r="T49"/>
  <c r="T48"/>
  <c r="T47"/>
  <c r="T46"/>
  <c r="T45"/>
  <c r="T44"/>
  <c r="T43"/>
  <c r="T42"/>
  <c r="T41"/>
  <c r="T40"/>
  <c r="T39"/>
  <c r="T38"/>
  <c r="T37"/>
  <c r="T36"/>
  <c r="T35"/>
  <c r="T34"/>
  <c r="T33"/>
  <c r="T32"/>
  <c r="T31"/>
  <c r="T30"/>
  <c r="T29"/>
  <c r="T28"/>
  <c r="T27"/>
  <c r="T26"/>
  <c r="T25"/>
  <c r="T24"/>
  <c r="T23"/>
  <c r="T22"/>
  <c r="T21"/>
  <c r="T20"/>
  <c r="T19"/>
  <c r="T18"/>
  <c r="T17"/>
  <c r="T16"/>
  <c r="T15"/>
  <c r="T14"/>
  <c r="T13"/>
  <c r="T12"/>
  <c r="T11"/>
  <c r="T10"/>
  <c r="T9"/>
  <c r="T8"/>
  <c r="T7"/>
  <c r="T6"/>
  <c r="T5"/>
  <c r="T4"/>
  <c r="T3"/>
  <c r="T2"/>
</calcChain>
</file>

<file path=xl/sharedStrings.xml><?xml version="1.0" encoding="utf-8"?>
<sst xmlns="http://schemas.openxmlformats.org/spreadsheetml/2006/main">
  <si>
    <t>Excel Kolon Adı</t>
  </si>
  <si>
    <t>Karşılığı</t>
  </si>
  <si>
    <t>Örnek</t>
  </si>
  <si>
    <t>Teklif Kodu</t>
  </si>
  <si>
    <t>Teklifin sistemdeki tanımlayıcı kodudur.</t>
  </si>
  <si>
    <t>Ürün Adı</t>
  </si>
  <si>
    <t>Ürünün adını belirtir.</t>
  </si>
  <si>
    <t>Phazz Brand Ayakkabı - 42, Siyah</t>
  </si>
  <si>
    <t>SKU</t>
  </si>
  <si>
    <t>Teklif oluşturulan SKU bilgisini belirtir.</t>
  </si>
  <si>
    <t>HBV000000012</t>
  </si>
  <si>
    <t>Ürün ID</t>
  </si>
  <si>
    <t>Ürün Id değerini gösterir.</t>
  </si>
  <si>
    <t>Kategori</t>
  </si>
  <si>
    <t>Ürünün satış kategorisini belirtir.</t>
  </si>
  <si>
    <t>Elektronik</t>
  </si>
  <si>
    <t>Mevcut Stok</t>
  </si>
  <si>
    <t>Ürünün stok adedini gösterir.</t>
  </si>
  <si>
    <t>Başlangıç tarihi</t>
  </si>
  <si>
    <t>Teklif başlama tarihidir.</t>
  </si>
  <si>
    <t>21-03-2021 17:00</t>
  </si>
  <si>
    <t>Bitiş Tarihi</t>
  </si>
  <si>
    <t>Teklif bitiş tarihidir.</t>
  </si>
  <si>
    <t xml:space="preserve">Teklif Fiyatı </t>
  </si>
  <si>
    <t>Teklif edilen fiyat bilgisidir.</t>
  </si>
  <si>
    <t>Teklif Komisyonu</t>
  </si>
  <si>
    <t>Teklif edilen komisyon oranıdır.</t>
  </si>
  <si>
    <t>Güncel Durum</t>
  </si>
  <si>
    <t>Ürünün mevcut satış fiyatıdır.</t>
  </si>
  <si>
    <t>1099.00 TL</t>
  </si>
  <si>
    <t>Güncel Komisyon</t>
  </si>
  <si>
    <t>Ürünün mevcut komisyon oranıdır.</t>
  </si>
  <si>
    <t>Uygulanacak Komisyon</t>
  </si>
  <si>
    <t>Seçilen fiyata göre uygulanacak komisyonu gösterir.</t>
  </si>
  <si>
    <t>Fiyat gir</t>
  </si>
  <si>
    <t>Teklfe katılmak isteğiniz fiyatı gireceğiniz alandır.</t>
  </si>
  <si>
    <t>Başlangıç Tarihi</t>
  </si>
  <si>
    <t>Teklif Fiyatı 1</t>
  </si>
  <si>
    <t>Komisyon Teklifi 1</t>
  </si>
  <si>
    <t xml:space="preserve">Teklif 1 
Katılabileceğiniz Maximum Fiyat
</t>
  </si>
  <si>
    <t>Teklif Fiyatı 2</t>
  </si>
  <si>
    <t>Komisyon Teklifi 2</t>
  </si>
  <si>
    <t xml:space="preserve">Teklif 2
Katılabileceğiniz Maximum Fiyat
</t>
  </si>
  <si>
    <t>Teklif Fiyatı 3</t>
  </si>
  <si>
    <t>Komisyon Teklifi 3</t>
  </si>
  <si>
    <t xml:space="preserve">Teklif 3
Katılabileceğiniz Maximum Fiyat
</t>
  </si>
  <si>
    <t>Güncel Fiyat</t>
  </si>
  <si>
    <t>Fiyat Gir</t>
  </si>
  <si>
    <t>Dagi Erkek Termal T-Shirt Siyah E010911310</t>
  </si>
  <si>
    <t>HBV000007F6PH</t>
  </si>
  <si>
    <t>HB000007F6P5</t>
  </si>
  <si>
    <t>Body (iç giyim)</t>
  </si>
  <si>
    <t>1.208,00 TL - 1.182,01 TL</t>
  </si>
  <si>
    <t>7,1 %</t>
  </si>
  <si>
    <t>1.182,00 TL - 1.143,01 TL</t>
  </si>
  <si>
    <t>6,4 %</t>
  </si>
  <si>
    <t>1.143,00 TL - ve altı</t>
  </si>
  <si>
    <t>5,7 %</t>
  </si>
  <si>
    <t>18,00 %</t>
  </si>
  <si>
    <t>Dagi Erkek Termal Tek Alt Siyah E010910890</t>
  </si>
  <si>
    <t>HBV000007F6MK</t>
  </si>
  <si>
    <t>HB000008HS9N</t>
  </si>
  <si>
    <t>1.088,00 TL - 1.049,01 TL</t>
  </si>
  <si>
    <t>1.049,00 TL - 1.013,01 TL</t>
  </si>
  <si>
    <t>1.013,00 TL - ve altı</t>
  </si>
  <si>
    <t>5 %</t>
  </si>
  <si>
    <t>Dagi Termal Tek Alt Esnek Kumaşla Rahatlık Sağlayan Erkek İç Giyim</t>
  </si>
  <si>
    <t>HBV000002OBQA</t>
  </si>
  <si>
    <t>1.103,00 TL - 1.064,01 TL</t>
  </si>
  <si>
    <t>1.064,00 TL - 1.027,01 TL</t>
  </si>
  <si>
    <t>1.027,00 TL - ve altı</t>
  </si>
  <si>
    <t>HBV000007F6ML</t>
  </si>
  <si>
    <t>Dagi Erkek Termal Tek Alt İçlik XL Siyah Renk Esnek Kumaşla Şıklığı Yakalayın</t>
  </si>
  <si>
    <t>HBV000003GUOS</t>
  </si>
  <si>
    <t>Erdem 3'lü 1110 Ribana Erkek Atlet</t>
  </si>
  <si>
    <t>HBV00000A54QC</t>
  </si>
  <si>
    <t>HB00000A54Q5</t>
  </si>
  <si>
    <t>Atlet</t>
  </si>
  <si>
    <t>805,00 TL - 788,01 TL</t>
  </si>
  <si>
    <t>788,00 TL - 754,01 TL</t>
  </si>
  <si>
    <t>754,00 TL - ve altı</t>
  </si>
  <si>
    <t>HBV00000A54QM</t>
  </si>
  <si>
    <t>791,00 TL - 774,01 TL</t>
  </si>
  <si>
    <t>774,00 TL - 742,01 TL</t>
  </si>
  <si>
    <t>742,00 TL - ve altı</t>
  </si>
  <si>
    <t>Erdem İç Giyim Erdem Beyaz Penye Amerikan Yaka T-Shirt Erkekler İçin Yumuşak Dokulu 100% Pamuklu</t>
  </si>
  <si>
    <t>HBV000018HGPM</t>
  </si>
  <si>
    <t>HB000018HGPK</t>
  </si>
  <si>
    <t>Fanila</t>
  </si>
  <si>
    <t>507,00 TL - 489,01 TL</t>
  </si>
  <si>
    <t>489,00 TL - 474,01 TL</t>
  </si>
  <si>
    <t>474,00 TL - ve altı</t>
  </si>
  <si>
    <t>Erdem İç Giyim Beyaz Amerikan Yaka T-Shirt Erkek S Beden Yumuşak Dokulu Pamuklu Kumaş</t>
  </si>
  <si>
    <t>HBV000018HGPL</t>
  </si>
  <si>
    <t>Erdem Beyaz Penye Amerikan Yaka T-Shirt 1165</t>
  </si>
  <si>
    <t>HBV000018HGPN</t>
  </si>
  <si>
    <t>Erdem İç Giyim Erdem Beyaz Penye Amerikan Yaka T-Shirt Erkek XL Konforlu Yazlık İç Giyim</t>
  </si>
  <si>
    <t>HBV000018HGPO</t>
  </si>
  <si>
    <t>505,00 TL - 479,01 TL</t>
  </si>
  <si>
    <t>479,00 TL - 455,01 TL</t>
  </si>
  <si>
    <t>455,00 TL - ve altı</t>
  </si>
  <si>
    <t>Dagi Kadın Sütyen B0169255SY</t>
  </si>
  <si>
    <t>HBV00000AKT7N</t>
  </si>
  <si>
    <t>HBC000021TR4M</t>
  </si>
  <si>
    <t>Hamile İç Giyim</t>
  </si>
  <si>
    <t>576,00 TL - 547,01 TL</t>
  </si>
  <si>
    <t>6,8 %</t>
  </si>
  <si>
    <t>547,00 TL - 519,01 TL</t>
  </si>
  <si>
    <t>5,9 %</t>
  </si>
  <si>
    <t>519,00 TL - ve altı</t>
  </si>
  <si>
    <t>HBV00000AKT7O</t>
  </si>
  <si>
    <t>652,00 TL - 631,01 TL</t>
  </si>
  <si>
    <t>631,00 TL - 610,01 TL</t>
  </si>
  <si>
    <t>6,3 %</t>
  </si>
  <si>
    <t>610,00 TL - ve altı</t>
  </si>
  <si>
    <t>5,2 %</t>
  </si>
  <si>
    <t>HBV00000AKT7M</t>
  </si>
  <si>
    <t>5,3 %</t>
  </si>
  <si>
    <t>Dagi Kadın Sütyen B0169255TE</t>
  </si>
  <si>
    <t>HBV00000AKT7T</t>
  </si>
  <si>
    <t>HBC000021TR4Z</t>
  </si>
  <si>
    <t>577,00 TL - 548,01 TL</t>
  </si>
  <si>
    <t>6,6 %</t>
  </si>
  <si>
    <t>548,00 TL - 520,01 TL</t>
  </si>
  <si>
    <t>5,8 %</t>
  </si>
  <si>
    <t>520,00 TL - ve altı</t>
  </si>
  <si>
    <t>HBV00000AKT7R</t>
  </si>
  <si>
    <t>601,00 TL - 581,01 TL</t>
  </si>
  <si>
    <t>7,5 %</t>
  </si>
  <si>
    <t>581,00 TL - 561,01 TL</t>
  </si>
  <si>
    <t>6,7 %</t>
  </si>
  <si>
    <t>561,00 TL - ve altı</t>
  </si>
  <si>
    <t>5,6 %</t>
  </si>
  <si>
    <t>Dagi Kadın Lohusa Atlet Beyaz</t>
  </si>
  <si>
    <t>HBV00000BPKBZ</t>
  </si>
  <si>
    <t>HBC000021TR5B</t>
  </si>
  <si>
    <t>516,00 TL - 498,01 TL</t>
  </si>
  <si>
    <t>7,2 %</t>
  </si>
  <si>
    <t>498,00 TL - 481,01 TL</t>
  </si>
  <si>
    <t>6,5 %</t>
  </si>
  <si>
    <t>481,00 TL - ve altı</t>
  </si>
  <si>
    <t>5,1 %</t>
  </si>
  <si>
    <t>Dagi Beyaz Emzirme Atleti Kadınlar İçin Yumuşak ve Nefes Alabilir Pamuk Elastan Karışımı</t>
  </si>
  <si>
    <t>HBV00000BPKBY</t>
  </si>
  <si>
    <t>523,00 TL - 506,01 TL</t>
  </si>
  <si>
    <t>506,00 TL - 489,01 TL</t>
  </si>
  <si>
    <t>489,00 TL - ve altı</t>
  </si>
  <si>
    <t>5,4 %</t>
  </si>
  <si>
    <t>Dagi Kadın Lohusa Atlet Siyah</t>
  </si>
  <si>
    <t>HBV00000BPKCB</t>
  </si>
  <si>
    <t>HBC000021TR5L</t>
  </si>
  <si>
    <t>490,00 TL - 474,01 TL</t>
  </si>
  <si>
    <t>7,4 %</t>
  </si>
  <si>
    <t>474,00 TL - 458,01 TL</t>
  </si>
  <si>
    <t>458,00 TL - ve altı</t>
  </si>
  <si>
    <t>Dagi Siyah Lohusa Emzirme Atleti Kadın İç Giyim %95 Pamuk Esnek Kumaş Özellikli</t>
  </si>
  <si>
    <t>HBV00000BPKCA</t>
  </si>
  <si>
    <t>499,00 TL - 482,01 TL</t>
  </si>
  <si>
    <t>10,1 %</t>
  </si>
  <si>
    <t>482,00 TL - 465,01 TL</t>
  </si>
  <si>
    <t>6,2 %</t>
  </si>
  <si>
    <t>465,00 TL - ve altı</t>
  </si>
  <si>
    <t>Dagi Kadın 2'Li Atlet Beyaz</t>
  </si>
  <si>
    <t>HBV00000BPJHW</t>
  </si>
  <si>
    <t>HBC000021TW6H</t>
  </si>
  <si>
    <t>678,00 TL - 656,01 TL</t>
  </si>
  <si>
    <t>7,3 %</t>
  </si>
  <si>
    <t>656,00 TL - 635,01 TL</t>
  </si>
  <si>
    <t>635,00 TL - ve altı</t>
  </si>
  <si>
    <t>5,5 %</t>
  </si>
  <si>
    <t>Beyaz 2'Li İnce Askılı Penye Kadın Atlet</t>
  </si>
  <si>
    <t>HBV00000BPJHV</t>
  </si>
  <si>
    <t>HBV00000BPJHU</t>
  </si>
  <si>
    <t>HBV00000BPJHZ</t>
  </si>
  <si>
    <t>6,9 %</t>
  </si>
  <si>
    <t>6,1 %</t>
  </si>
  <si>
    <t>HBV00000BPJHX</t>
  </si>
  <si>
    <t>716,00 TL - 692,01 TL</t>
  </si>
  <si>
    <t>692,00 TL - 669,01 TL</t>
  </si>
  <si>
    <t>669,00 TL - ve altı</t>
  </si>
  <si>
    <t>HBV00000BPJHY</t>
  </si>
  <si>
    <t>Dagi Kadın 2'Li Siyah Atlet Rahat Kesim Pamuk %95 Elastan Nefes Alabilir</t>
  </si>
  <si>
    <t>HBV00000BPJI4</t>
  </si>
  <si>
    <t>HBC000021TX1L</t>
  </si>
  <si>
    <t>677,00 TL - 655,01 TL</t>
  </si>
  <si>
    <t>655,00 TL - 635,01 TL</t>
  </si>
  <si>
    <t>Siyah 2'Li İnce Askılı Penye Kadın Atlet</t>
  </si>
  <si>
    <t>HBV00000BPJI2</t>
  </si>
  <si>
    <t>Dagi Kadın 2'Li Siyah Atlet %95 Pamuk %5 Elastan Nefes Alabilir Rahat Kesim</t>
  </si>
  <si>
    <t>HBV00000BPJI3</t>
  </si>
  <si>
    <t>Dagi Siyah Kadın Atlet 2'li İnce Askılı Esnek Kumaş Özelliği ile Pamuk ve Elastan Karışımı</t>
  </si>
  <si>
    <t>HBV00000BPJI6</t>
  </si>
  <si>
    <t>Dagi Kadın 2'Li Siyah Atlet %95 Pamuk Elastik Yapı ile Gün Boyu Rahatlık Sunar</t>
  </si>
  <si>
    <t>HBV00000BPJI5</t>
  </si>
  <si>
    <t>Dagi Kadın Siyah 2'Li Atlet %95 Pamuk Esnek Kumaş Özelliği ile Rahat Kullanım</t>
  </si>
  <si>
    <t>HBV00000BPJI1</t>
  </si>
  <si>
    <t>674,00 TL - 653,01 TL</t>
  </si>
  <si>
    <t>653,00 TL - 632,01 TL</t>
  </si>
  <si>
    <t>632,00 TL - ve altı</t>
  </si>
  <si>
    <t>Dagi Kadın Sütyen 95B Beyaz Konforlu Tasarım Yumuşak Dokulu Pamuk ve Elastan Kumaş</t>
  </si>
  <si>
    <t>HBV00000AKT7I</t>
  </si>
  <si>
    <t>HBC000021TYSW</t>
  </si>
  <si>
    <t>646,00 TL - 624,01 TL</t>
  </si>
  <si>
    <t>624,00 TL - 603,01 TL</t>
  </si>
  <si>
    <t>603,00 TL - ve altı</t>
  </si>
  <si>
    <t>Dagi Emzirme Sütyeni – Yumuşak Dokulu, Esnek Yapılı, %95 Pamuk %5 Elastan, Düz Desenli, Rahat Emzirme İçin</t>
  </si>
  <si>
    <t>HBV00000AKT7E</t>
  </si>
  <si>
    <t>538,00 TL - 511,01 TL</t>
  </si>
  <si>
    <t>511,00 TL - 485,01 TL</t>
  </si>
  <si>
    <t>485,00 TL - ve altı</t>
  </si>
  <si>
    <t>Dagi Kadın Sütyen Yumuşak Dokulu Beyaz %95 Pamuk %5 Elastan Konforlu Tasarım ile B0169255BY</t>
  </si>
  <si>
    <t>HBV00000AKT7G</t>
  </si>
  <si>
    <t>Dagi Kadın Sütyen B0169255BY %95 Pamuk %5 Elastan Yumuşak Dokulu Konforlu Tasarım</t>
  </si>
  <si>
    <t>HBV00000AKT7H</t>
  </si>
  <si>
    <t>Dagi Erkek Termal Tek Alt Ekru Yumuşak Doku ve Esnek Kumaş ile Konforlu Kullanım E010910890</t>
  </si>
  <si>
    <t>HBV000007F6MB</t>
  </si>
  <si>
    <t>HBC000021U1V4</t>
  </si>
  <si>
    <t>Dagi Erkek Termal İçlik Tek Alt Ekru Renk Esnek Kumaş ile Gün Boyu Rahatlık 2XL</t>
  </si>
  <si>
    <t>HBV000008HS9P</t>
  </si>
  <si>
    <t>Dagi Erkek Termal Tek Alt Ekru</t>
  </si>
  <si>
    <t>HBV000008HS9O</t>
  </si>
  <si>
    <t>Dagi Erkek Termal Tek Alt Siyah</t>
  </si>
  <si>
    <t>HBCV0000A7T9AE</t>
  </si>
  <si>
    <t>Dagi Erkek Termal Tek Alt Ekru E010910890</t>
  </si>
  <si>
    <t>HBV000007F6MA</t>
  </si>
  <si>
    <t>Dagi Termal Tek Alt E010910890Ek</t>
  </si>
  <si>
    <t>HBV000002OBQ6</t>
  </si>
  <si>
    <t>935,00 TL - 904,01 TL</t>
  </si>
  <si>
    <t>904,00 TL - 875,01 TL</t>
  </si>
  <si>
    <t>875,00 TL - ve altı</t>
  </si>
  <si>
    <t>HBCV0000A7T9AF</t>
  </si>
  <si>
    <t>Dagi Siyah Termal Erkek Atlet</t>
  </si>
  <si>
    <t>HBCV0000090IOD</t>
  </si>
  <si>
    <t>HBC000021U233</t>
  </si>
  <si>
    <t>863,00 TL - 845,01 TL</t>
  </si>
  <si>
    <t>845,00 TL - 809,01 TL</t>
  </si>
  <si>
    <t>809,00 TL - ve altı</t>
  </si>
  <si>
    <t>Dagi Siyah Termal Atlet Erkek Kullanımı İçin Esnek ve Rahat Yapı ile Soğuk Havalara Uygun</t>
  </si>
  <si>
    <t>HBCV000002FS92</t>
  </si>
  <si>
    <t>617,00 TL - 597,01 TL</t>
  </si>
  <si>
    <t>597,00 TL - 578,01 TL</t>
  </si>
  <si>
    <t>578,00 TL - ve altı</t>
  </si>
  <si>
    <t>Siyah V Yaka Uzun Kol Erkek Termal Içlik Tek Üst</t>
  </si>
  <si>
    <t>HBCV0000AAZFB1</t>
  </si>
  <si>
    <t>HBC000021U2XK</t>
  </si>
  <si>
    <t>957,00 TL - 941,01 TL</t>
  </si>
  <si>
    <t>941,00 TL - 929,01 TL</t>
  </si>
  <si>
    <t>929,00 TL - ve altı</t>
  </si>
  <si>
    <t>Siyah V Yaka Uzun Kol Erkek Termal İçlik Tek Üst</t>
  </si>
  <si>
    <t>HBV000007F6PG</t>
  </si>
  <si>
    <t>832,00 TL - 804,01 TL</t>
  </si>
  <si>
    <t>804,00 TL - 778,01 TL</t>
  </si>
  <si>
    <t>778,00 TL - ve altı</t>
  </si>
  <si>
    <t>Fabony Modal Hamile Boxer Şort 1110</t>
  </si>
  <si>
    <t>HBCV00003AXTEB</t>
  </si>
  <si>
    <t>HBC00003AXSS8</t>
  </si>
  <si>
    <t>312,00 TL - 311,01 TL</t>
  </si>
  <si>
    <t>311,00 TL - 307,01 TL</t>
  </si>
  <si>
    <t>307,00 TL - ve altı</t>
  </si>
  <si>
    <t>Ten Iz Yapmaz Ultra Ince Silikon Sütyen</t>
  </si>
  <si>
    <t>HBCV000094IQQY</t>
  </si>
  <si>
    <t>HBC000094IQ81</t>
  </si>
  <si>
    <t>Sütyen</t>
  </si>
  <si>
    <t>322,00 TL - 318,01 TL</t>
  </si>
  <si>
    <t>318,00 TL - 310,01 TL</t>
  </si>
  <si>
    <t>310,00 TL - ve altı</t>
  </si>
  <si>
    <t>Dagi Ten Renkli Yapışkansız Silikon Göğüs Ucu Kapatıcı Gün Boyu Destek ve Konforlu Tasarım</t>
  </si>
  <si>
    <t>HBCV000094IRFH</t>
  </si>
  <si>
    <t>HBC000094IRFG</t>
  </si>
  <si>
    <t>112,00 TL - 110,01 TL</t>
  </si>
  <si>
    <t>7,7 %</t>
  </si>
  <si>
    <t>110,00 TL - 97,01 TL</t>
  </si>
  <si>
    <t>97,00 TL - ve altı</t>
  </si>
  <si>
    <t>Pierre Cardin 4560 Madrid Balenli Dolgusuz Dantel Detaylı Sütyen Takımı (Pudra)</t>
  </si>
  <si>
    <t>HBCV0000DH6BOM</t>
  </si>
  <si>
    <t>HBC0000DH69S2</t>
  </si>
  <si>
    <t>783,00 TL - 766,01 TL</t>
  </si>
  <si>
    <t>766,00 TL - 679,01 TL</t>
  </si>
  <si>
    <t>679,00 TL - ve altı</t>
  </si>
  <si>
    <t>HBCV0000DH6AUH</t>
  </si>
  <si>
    <t>809,00 TL - 783,01 TL</t>
  </si>
  <si>
    <t>766,00 TL - ve altı</t>
  </si>
  <si>
    <t>Pierre Cardin 4563 Pisa Balenli Dolgulu Push Up Dantel Straplez Fantezi Sütyen ve Külot Takımı</t>
  </si>
  <si>
    <t>HBCV0000DH6AAX</t>
  </si>
  <si>
    <t>HBC0000DH69SE</t>
  </si>
  <si>
    <t>564,00 TL - 546,01 TL</t>
  </si>
  <si>
    <t>546,00 TL - 530,01 TL</t>
  </si>
  <si>
    <t>530,00 TL - ve altı</t>
  </si>
  <si>
    <t>Kadınlar İçin Pierre Cardin 6020 Bej Renk Straplez Balenli Sütyen Gün Boyu Destek Sağlayan Tasarım</t>
  </si>
  <si>
    <t>HBCV0000DH6C4C</t>
  </si>
  <si>
    <t>HBC0000DH6AOB</t>
  </si>
  <si>
    <t>507,00 TL - 481,01 TL</t>
  </si>
  <si>
    <t>481,00 TL - 456,01 TL</t>
  </si>
  <si>
    <t>456,00 TL - ve altı</t>
  </si>
  <si>
    <t xml:space="preserve">Pierre Cardin  6020 Straplez Sütyen Beyaz Renk B Beden ile Gün Boyu Destek Sağlar</t>
  </si>
  <si>
    <t>HBCV0000DH6BOO</t>
  </si>
  <si>
    <t>Pierre Cardin 6020 Balenli Kadın Sütyen Bej Renk Straplez Desteksiz 80B Gün Boyu Destek</t>
  </si>
  <si>
    <t>HBCV0000DH6AOC</t>
  </si>
  <si>
    <t>Pierre Cardin 6020 Balenli Straplez Sütyen Bej 90B Desteksiz Gün Boyu Destek Sunan</t>
  </si>
  <si>
    <t>HBCV0000DH6CAA</t>
  </si>
  <si>
    <t>427,00 TL - 413,01 TL</t>
  </si>
  <si>
    <t>413,00 TL - 400,01 TL</t>
  </si>
  <si>
    <t>400,00 TL - ve altı</t>
  </si>
  <si>
    <t>Pierre Cardin 6020 Balenli Kadın Sütyen Bej Renk 85B Straplez Desteksiz Gün Boyu Destek</t>
  </si>
  <si>
    <t>HBCV0000DH6AOL</t>
  </si>
  <si>
    <t>433,00 TL - 419,01 TL</t>
  </si>
  <si>
    <t>419,00 TL - 405,01 TL</t>
  </si>
  <si>
    <t>405,00 TL - ve altı</t>
  </si>
  <si>
    <t>Pierre Cardin 6020 Balenli Straplez Tek Sütyen 75B Beyaz Renk Desteksiz Konforlu Tasarım</t>
  </si>
  <si>
    <t>HBCV0000DH6BOW</t>
  </si>
</sst>
</file>

<file path=xl/styles.xml><?xml version="1.0" encoding="utf-8"?>
<styleSheet xmlns="http://schemas.openxmlformats.org/spreadsheetml/2006/main">
  <numFmts count="2">
    <numFmt numFmtId="164" formatCode="mm-dd-yyyy h:mm"/>
    <numFmt numFmtId="165" formatCode="dd-mm-yyyy hh:mm"/>
  </numFmts>
  <fonts count="9">
    <font>
      <sz val="10"/>
      <color rgb="FF000000"/>
      <name val="Arial"/>
      <family val="2"/>
      <scheme val="minor"/>
    </font>
    <font>
      <b/>
      <sz val="10"/>
      <color theme="1"/>
      <name val="Arial"/>
    </font>
    <font>
      <sz val="10"/>
      <color theme="1"/>
      <name val="Arial"/>
    </font>
    <font>
      <u/>
      <sz val="10"/>
      <color theme="10"/>
      <name val="Arial"/>
    </font>
    <font>
      <b/>
      <sz val="10"/>
      <color rgb="FF000000"/>
      <name val="Arial"/>
    </font>
    <font>
      <sz val="10"/>
      <color rgb="FF000000"/>
      <name val="Arial"/>
    </font>
    <font>
      <b/>
      <sz val="10"/>
      <color rgb="FF000000"/>
      <name val="Arial"/>
      <scheme val="minor"/>
    </font>
    <font>
      <sz val="10"/>
      <color rgb="FF808080"/>
      <name val="Arial"/>
    </font>
    <font>
      <sz val="10"/>
      <color rgb="FF666666"/>
      <name val="Arial"/>
    </font>
  </fonts>
  <fills count="9">
    <fill>
      <patternFill patternType="none"/>
    </fill>
    <fill>
      <patternFill patternType="gray125"/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rgb="FFFEF1CC"/>
        <bgColor rgb="FFFEF1CC"/>
      </patternFill>
    </fill>
    <fill>
      <patternFill patternType="solid">
        <fgColor rgb="FFFDE49A"/>
        <bgColor rgb="FFFDE49A"/>
      </patternFill>
    </fill>
    <fill>
      <patternFill patternType="solid">
        <fgColor rgb="FFFCD668"/>
        <bgColor rgb="FFFCD668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</fills>
  <borders count="1">
    <border/>
  </borders>
  <cellStyleXfs count="1">
    <xf numFmtId="0" fontId="0" fillId="0" borderId="0"/>
  </cellStyleXfs>
  <cellXfs count="74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wrapText="1"/>
    </xf>
    <xf numFmtId="0" fontId="2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5" fillId="0" borderId="0" xfId="0" applyFont="1" applyAlignment="1">
      <alignment horizontal="right" wrapText="1"/>
    </xf>
    <xf numFmtId="0" fontId="6" fillId="0" borderId="0" xfId="0" applyFont="1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right"/>
    </xf>
    <xf numFmtId="0" fontId="1" fillId="0" borderId="0" xfId="0" applyFont="1" applyAlignment="1">
      <alignment horizontal="left" wrapText="1"/>
    </xf>
    <xf numFmtId="0" fontId="5" fillId="3" borderId="0" xfId="0" applyFont="1" applyFill="1" applyAlignment="1">
      <alignment horizontal="right"/>
    </xf>
    <xf numFmtId="164" fontId="5" fillId="3" borderId="0" xfId="0" applyNumberFormat="1" applyFont="1" applyFill="1" applyAlignment="1">
      <alignment horizontal="right"/>
    </xf>
    <xf numFmtId="0" fontId="2" fillId="0" borderId="0" xfId="0" applyFont="1" applyAlignment="1">
      <alignment horizontal="right" wrapText="1"/>
    </xf>
    <xf numFmtId="9" fontId="2" fillId="0" borderId="0" xfId="0" applyNumberFormat="1" applyFont="1" applyAlignment="1">
      <alignment wrapText="1"/>
    </xf>
    <xf numFmtId="9" fontId="5" fillId="0" borderId="0" xfId="0" applyNumberFormat="1" applyFont="1"/>
    <xf numFmtId="0" fontId="0" fillId="0" borderId="0" xfId="0" applyAlignment="1">
      <alignment horizontal="left" vertical="top"/>
    </xf>
    <xf numFmtId="0" fontId="0" fillId="0" borderId="0" xfId="0" applyAlignment="1">
      <alignment vertical="top"/>
    </xf>
    <xf numFmtId="4" fontId="0" fillId="0" borderId="0" xfId="0" applyNumberFormat="1" applyAlignment="1">
      <alignment vertical="top"/>
    </xf>
    <xf numFmtId="4" fontId="0" fillId="0" borderId="0" xfId="0" applyNumberFormat="1" applyAlignment="1">
      <alignment horizontal="center" vertical="top"/>
    </xf>
    <xf numFmtId="0" fontId="4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4" fontId="1" fillId="4" borderId="0" xfId="0" applyNumberFormat="1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4" fontId="1" fillId="5" borderId="0" xfId="0" applyNumberFormat="1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4" fontId="1" fillId="6" borderId="0" xfId="0" applyNumberFormat="1" applyFont="1" applyFill="1" applyAlignment="1">
      <alignment horizontal="center" vertical="center" wrapText="1"/>
    </xf>
    <xf numFmtId="4" fontId="1" fillId="0" borderId="0" xfId="0" applyNumberFormat="1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65" fontId="7" fillId="0" borderId="0" xfId="0" applyNumberFormat="1" applyFont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9" fontId="7" fillId="4" borderId="0" xfId="0" applyNumberFormat="1" applyFont="1" applyFill="1" applyAlignment="1">
      <alignment horizontal="center" vertical="center"/>
    </xf>
    <xf numFmtId="4" fontId="7" fillId="4" borderId="0" xfId="0" applyNumberFormat="1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9" fontId="7" fillId="5" borderId="0" xfId="0" applyNumberFormat="1" applyFont="1" applyFill="1" applyAlignment="1">
      <alignment horizontal="center" vertical="center"/>
    </xf>
    <xf numFmtId="4" fontId="7" fillId="5" borderId="0" xfId="0" applyNumberFormat="1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4" fontId="7" fillId="6" borderId="0" xfId="0" applyNumberFormat="1" applyFont="1" applyFill="1" applyAlignment="1">
      <alignment horizontal="center" vertical="center"/>
    </xf>
    <xf numFmtId="4" fontId="7" fillId="0" borderId="0" xfId="0" applyNumberFormat="1" applyFont="1" applyAlignment="1">
      <alignment horizontal="center" vertical="center"/>
    </xf>
    <xf numFmtId="9" fontId="7" fillId="0" borderId="0" xfId="0" applyNumberFormat="1" applyFont="1" applyAlignment="1">
      <alignment horizontal="center" vertical="center"/>
    </xf>
    <xf numFmtId="4" fontId="7" fillId="7" borderId="0" xfId="0" applyNumberFormat="1" applyFont="1" applyFill="1" applyAlignment="1">
      <alignment horizontal="center" vertical="top"/>
    </xf>
    <xf numFmtId="0" fontId="8" fillId="0" borderId="0" xfId="0" applyFont="1" applyAlignment="1">
      <alignment horizontal="left" vertical="top"/>
    </xf>
    <xf numFmtId="0" fontId="2" fillId="0" borderId="0" xfId="0" applyFont="1" applyAlignment="1">
      <alignment horizontal="left" vertical="top"/>
    </xf>
    <xf numFmtId="4" fontId="7" fillId="8" borderId="0" xfId="0" applyNumberFormat="1" applyFont="1" applyFill="1" applyAlignment="1">
      <alignment horizontal="center" vertical="top"/>
    </xf>
    <xf numFmtId="4" fontId="7" fillId="5" borderId="0" xfId="0" applyNumberFormat="1" applyFont="1" applyFill="1" applyAlignment="1">
      <alignment horizontal="center" vertical="center"/>
    </xf>
    <xf numFmtId="4" fontId="7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top"/>
    </xf>
    <xf numFmtId="0" fontId="2" fillId="4" borderId="0" xfId="0" applyFont="1" applyFill="1" applyAlignment="1">
      <alignment horizontal="left" vertical="top"/>
    </xf>
    <xf numFmtId="0" fontId="2" fillId="4" borderId="0" xfId="0" applyFont="1" applyFill="1" applyAlignment="1">
      <alignment horizontal="center" vertical="top"/>
    </xf>
    <xf numFmtId="4" fontId="2" fillId="4" borderId="0" xfId="0" applyNumberFormat="1" applyFont="1" applyFill="1" applyAlignment="1">
      <alignment horizontal="center" vertical="top"/>
    </xf>
    <xf numFmtId="0" fontId="2" fillId="5" borderId="0" xfId="0" applyFont="1" applyFill="1" applyAlignment="1">
      <alignment horizontal="left" vertical="top"/>
    </xf>
    <xf numFmtId="0" fontId="2" fillId="5" borderId="0" xfId="0" applyFont="1" applyFill="1" applyAlignment="1">
      <alignment horizontal="center" vertical="top"/>
    </xf>
    <xf numFmtId="4" fontId="2" fillId="5" borderId="0" xfId="0" applyNumberFormat="1" applyFont="1" applyFill="1" applyAlignment="1">
      <alignment horizontal="center" vertical="top"/>
    </xf>
    <xf numFmtId="0" fontId="2" fillId="6" borderId="0" xfId="0" applyFont="1" applyFill="1" applyAlignment="1">
      <alignment horizontal="left" vertical="top"/>
    </xf>
    <xf numFmtId="0" fontId="2" fillId="6" borderId="0" xfId="0" applyFont="1" applyFill="1" applyAlignment="1">
      <alignment horizontal="center" vertical="top"/>
    </xf>
    <xf numFmtId="4" fontId="2" fillId="6" borderId="0" xfId="0" applyNumberFormat="1" applyFont="1" applyFill="1" applyAlignment="1">
      <alignment horizontal="center" vertical="top"/>
    </xf>
    <xf numFmtId="4" fontId="2" fillId="0" borderId="0" xfId="0" applyNumberFormat="1" applyFont="1" applyAlignment="1">
      <alignment horizontal="left" vertical="top"/>
    </xf>
    <xf numFmtId="4" fontId="2" fillId="0" borderId="0" xfId="0" applyNumberFormat="1" applyFont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4" borderId="0" xfId="0" applyFont="1" applyFill="1" applyAlignment="1">
      <alignment horizontal="center" vertical="top"/>
    </xf>
    <xf numFmtId="4" fontId="5" fillId="4" borderId="0" xfId="0" applyNumberFormat="1" applyFont="1" applyFill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5" borderId="0" xfId="0" applyFont="1" applyFill="1" applyAlignment="1">
      <alignment horizontal="center" vertical="top"/>
    </xf>
    <xf numFmtId="4" fontId="5" fillId="5" borderId="0" xfId="0" applyNumberFormat="1" applyFont="1" applyFill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6" borderId="0" xfId="0" applyFont="1" applyFill="1" applyAlignment="1">
      <alignment horizontal="center" vertical="top"/>
    </xf>
    <xf numFmtId="4" fontId="5" fillId="6" borderId="0" xfId="0" applyNumberFormat="1" applyFont="1" applyFill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worksheet" Target="worksheets/sheet2.xml" /><Relationship Id="rId3" Type="http://schemas.openxmlformats.org/officeDocument/2006/relationships/styles" Target="styles.xml" /><Relationship Id="rId4" Type="http://schemas.openxmlformats.org/officeDocument/2006/relationships/theme" Target="theme/theme1.xml" /><Relationship Id="rId5" Type="http://schemas.openxmlformats.org/officeDocument/2006/relationships/calcChain" Target="calcChain.xml" /><Relationship Id="rId6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hyperlink" Target="http://merchant.qa.hepsiburada.com/v2/listings?tab=all&amp;page=1&amp;pageSize=10&amp;search=AYKPHZ9321-SY42" TargetMode="External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hyperlink" Target="https://merchant.hepsiburada.com/v2/listings?tab=all&amp;page=1&amp;pageSize=10&amp;search=HBV000007F6PH" TargetMode="External" /><Relationship Id="rId2" Type="http://schemas.openxmlformats.org/officeDocument/2006/relationships/hyperlink" Target="https://merchant.hepsiburada.com/v2/listings?tab=all&amp;page=1&amp;pageSize=10&amp;search=HBV000007F6MK" TargetMode="External" /><Relationship Id="rId3" Type="http://schemas.openxmlformats.org/officeDocument/2006/relationships/hyperlink" Target="https://merchant.hepsiburada.com/v2/listings?tab=all&amp;page=1&amp;pageSize=10&amp;search=HBV000002OBQA" TargetMode="External" /><Relationship Id="rId4" Type="http://schemas.openxmlformats.org/officeDocument/2006/relationships/hyperlink" Target="https://merchant.hepsiburada.com/v2/listings?tab=all&amp;page=1&amp;pageSize=10&amp;search=HBV000007F6ML" TargetMode="External" /><Relationship Id="rId5" Type="http://schemas.openxmlformats.org/officeDocument/2006/relationships/hyperlink" Target="https://merchant.hepsiburada.com/v2/listings?tab=all&amp;page=1&amp;pageSize=10&amp;search=HBV000003GUOS" TargetMode="External" /><Relationship Id="rId6" Type="http://schemas.openxmlformats.org/officeDocument/2006/relationships/hyperlink" Target="https://merchant.hepsiburada.com/v2/listings?tab=all&amp;page=1&amp;pageSize=10&amp;search=HBV00000A54QC" TargetMode="External" /><Relationship Id="rId7" Type="http://schemas.openxmlformats.org/officeDocument/2006/relationships/hyperlink" Target="https://merchant.hepsiburada.com/v2/listings?tab=all&amp;page=1&amp;pageSize=10&amp;search=HBV00000A54QM" TargetMode="External" /><Relationship Id="rId8" Type="http://schemas.openxmlformats.org/officeDocument/2006/relationships/hyperlink" Target="https://merchant.hepsiburada.com/v2/listings?tab=all&amp;page=1&amp;pageSize=10&amp;search=HBV000018HGPM" TargetMode="External" /><Relationship Id="rId9" Type="http://schemas.openxmlformats.org/officeDocument/2006/relationships/hyperlink" Target="https://merchant.hepsiburada.com/v2/listings?tab=all&amp;page=1&amp;pageSize=10&amp;search=HBV000018HGPL" TargetMode="External" /><Relationship Id="rId10" Type="http://schemas.openxmlformats.org/officeDocument/2006/relationships/hyperlink" Target="https://merchant.hepsiburada.com/v2/listings?tab=all&amp;page=1&amp;pageSize=10&amp;search=HBV000018HGPN" TargetMode="External" /><Relationship Id="rId11" Type="http://schemas.openxmlformats.org/officeDocument/2006/relationships/hyperlink" Target="https://merchant.hepsiburada.com/v2/listings?tab=all&amp;page=1&amp;pageSize=10&amp;search=HBV000018HGPO" TargetMode="External" /><Relationship Id="rId12" Type="http://schemas.openxmlformats.org/officeDocument/2006/relationships/hyperlink" Target="https://merchant.hepsiburada.com/v2/listings?tab=all&amp;page=1&amp;pageSize=10&amp;search=HBV00000AKT7N" TargetMode="External" /><Relationship Id="rId13" Type="http://schemas.openxmlformats.org/officeDocument/2006/relationships/hyperlink" Target="https://merchant.hepsiburada.com/v2/listings?tab=all&amp;page=1&amp;pageSize=10&amp;search=HBV00000AKT7O" TargetMode="External" /><Relationship Id="rId14" Type="http://schemas.openxmlformats.org/officeDocument/2006/relationships/hyperlink" Target="https://merchant.hepsiburada.com/v2/listings?tab=all&amp;page=1&amp;pageSize=10&amp;search=HBV00000AKT7M" TargetMode="External" /><Relationship Id="rId15" Type="http://schemas.openxmlformats.org/officeDocument/2006/relationships/hyperlink" Target="https://merchant.hepsiburada.com/v2/listings?tab=all&amp;page=1&amp;pageSize=10&amp;search=HBV00000AKT7T" TargetMode="External" /><Relationship Id="rId16" Type="http://schemas.openxmlformats.org/officeDocument/2006/relationships/hyperlink" Target="https://merchant.hepsiburada.com/v2/listings?tab=all&amp;page=1&amp;pageSize=10&amp;search=HBV00000AKT7R" TargetMode="External" /><Relationship Id="rId17" Type="http://schemas.openxmlformats.org/officeDocument/2006/relationships/hyperlink" Target="https://merchant.hepsiburada.com/v2/listings?tab=all&amp;page=1&amp;pageSize=10&amp;search=HBV00000BPKBZ" TargetMode="External" /><Relationship Id="rId18" Type="http://schemas.openxmlformats.org/officeDocument/2006/relationships/hyperlink" Target="https://merchant.hepsiburada.com/v2/listings?tab=all&amp;page=1&amp;pageSize=10&amp;search=HBV00000BPKBY" TargetMode="External" /><Relationship Id="rId19" Type="http://schemas.openxmlformats.org/officeDocument/2006/relationships/hyperlink" Target="https://merchant.hepsiburada.com/v2/listings?tab=all&amp;page=1&amp;pageSize=10&amp;search=HBV00000BPKCB" TargetMode="External" /><Relationship Id="rId20" Type="http://schemas.openxmlformats.org/officeDocument/2006/relationships/hyperlink" Target="https://merchant.hepsiburada.com/v2/listings?tab=all&amp;page=1&amp;pageSize=10&amp;search=HBV00000BPKCA" TargetMode="External" /><Relationship Id="rId21" Type="http://schemas.openxmlformats.org/officeDocument/2006/relationships/hyperlink" Target="https://merchant.hepsiburada.com/v2/listings?tab=all&amp;page=1&amp;pageSize=10&amp;search=HBV00000BPJHW" TargetMode="External" /><Relationship Id="rId22" Type="http://schemas.openxmlformats.org/officeDocument/2006/relationships/hyperlink" Target="https://merchant.hepsiburada.com/v2/listings?tab=all&amp;page=1&amp;pageSize=10&amp;search=HBV00000BPJHV" TargetMode="External" /><Relationship Id="rId23" Type="http://schemas.openxmlformats.org/officeDocument/2006/relationships/hyperlink" Target="https://merchant.hepsiburada.com/v2/listings?tab=all&amp;page=1&amp;pageSize=10&amp;search=HBV00000BPJHU" TargetMode="External" /><Relationship Id="rId24" Type="http://schemas.openxmlformats.org/officeDocument/2006/relationships/hyperlink" Target="https://merchant.hepsiburada.com/v2/listings?tab=all&amp;page=1&amp;pageSize=10&amp;search=HBV00000BPJHZ" TargetMode="External" /><Relationship Id="rId25" Type="http://schemas.openxmlformats.org/officeDocument/2006/relationships/hyperlink" Target="https://merchant.hepsiburada.com/v2/listings?tab=all&amp;page=1&amp;pageSize=10&amp;search=HBV00000BPJHX" TargetMode="External" /><Relationship Id="rId26" Type="http://schemas.openxmlformats.org/officeDocument/2006/relationships/hyperlink" Target="https://merchant.hepsiburada.com/v2/listings?tab=all&amp;page=1&amp;pageSize=10&amp;search=HBV00000BPJHY" TargetMode="External" /><Relationship Id="rId27" Type="http://schemas.openxmlformats.org/officeDocument/2006/relationships/hyperlink" Target="https://merchant.hepsiburada.com/v2/listings?tab=all&amp;page=1&amp;pageSize=10&amp;search=HBV00000BPJI4" TargetMode="External" /><Relationship Id="rId28" Type="http://schemas.openxmlformats.org/officeDocument/2006/relationships/hyperlink" Target="https://merchant.hepsiburada.com/v2/listings?tab=all&amp;page=1&amp;pageSize=10&amp;search=HBV00000BPJI2" TargetMode="External" /><Relationship Id="rId29" Type="http://schemas.openxmlformats.org/officeDocument/2006/relationships/hyperlink" Target="https://merchant.hepsiburada.com/v2/listings?tab=all&amp;page=1&amp;pageSize=10&amp;search=HBV00000BPJI3" TargetMode="External" /><Relationship Id="rId30" Type="http://schemas.openxmlformats.org/officeDocument/2006/relationships/hyperlink" Target="https://merchant.hepsiburada.com/v2/listings?tab=all&amp;page=1&amp;pageSize=10&amp;search=HBV00000BPJI6" TargetMode="External" /><Relationship Id="rId31" Type="http://schemas.openxmlformats.org/officeDocument/2006/relationships/hyperlink" Target="https://merchant.hepsiburada.com/v2/listings?tab=all&amp;page=1&amp;pageSize=10&amp;search=HBV00000BPJI5" TargetMode="External" /><Relationship Id="rId32" Type="http://schemas.openxmlformats.org/officeDocument/2006/relationships/hyperlink" Target="https://merchant.hepsiburada.com/v2/listings?tab=all&amp;page=1&amp;pageSize=10&amp;search=HBV00000BPJI1" TargetMode="External" /><Relationship Id="rId33" Type="http://schemas.openxmlformats.org/officeDocument/2006/relationships/hyperlink" Target="https://merchant.hepsiburada.com/v2/listings?tab=all&amp;page=1&amp;pageSize=10&amp;search=HBV00000AKT7I" TargetMode="External" /><Relationship Id="rId34" Type="http://schemas.openxmlformats.org/officeDocument/2006/relationships/hyperlink" Target="https://merchant.hepsiburada.com/v2/listings?tab=all&amp;page=1&amp;pageSize=10&amp;search=HBV00000AKT7E" TargetMode="External" /><Relationship Id="rId35" Type="http://schemas.openxmlformats.org/officeDocument/2006/relationships/hyperlink" Target="https://merchant.hepsiburada.com/v2/listings?tab=all&amp;page=1&amp;pageSize=10&amp;search=HBV00000AKT7G" TargetMode="External" /><Relationship Id="rId36" Type="http://schemas.openxmlformats.org/officeDocument/2006/relationships/hyperlink" Target="https://merchant.hepsiburada.com/v2/listings?tab=all&amp;page=1&amp;pageSize=10&amp;search=HBV00000AKT7H" TargetMode="External" /><Relationship Id="rId37" Type="http://schemas.openxmlformats.org/officeDocument/2006/relationships/hyperlink" Target="https://merchant.hepsiburada.com/v2/listings?tab=all&amp;page=1&amp;pageSize=10&amp;search=HBV000007F6MB" TargetMode="External" /><Relationship Id="rId38" Type="http://schemas.openxmlformats.org/officeDocument/2006/relationships/hyperlink" Target="https://merchant.hepsiburada.com/v2/listings?tab=all&amp;page=1&amp;pageSize=10&amp;search=HBV000008HS9P" TargetMode="External" /><Relationship Id="rId39" Type="http://schemas.openxmlformats.org/officeDocument/2006/relationships/hyperlink" Target="https://merchant.hepsiburada.com/v2/listings?tab=all&amp;page=1&amp;pageSize=10&amp;search=HBV000008HS9O" TargetMode="External" /><Relationship Id="rId40" Type="http://schemas.openxmlformats.org/officeDocument/2006/relationships/hyperlink" Target="https://merchant.hepsiburada.com/v2/listings?tab=all&amp;page=1&amp;pageSize=10&amp;search=HBCV0000A7T9AE" TargetMode="External" /><Relationship Id="rId41" Type="http://schemas.openxmlformats.org/officeDocument/2006/relationships/hyperlink" Target="https://merchant.hepsiburada.com/v2/listings?tab=all&amp;page=1&amp;pageSize=10&amp;search=HBV000007F6MA" TargetMode="External" /><Relationship Id="rId42" Type="http://schemas.openxmlformats.org/officeDocument/2006/relationships/hyperlink" Target="https://merchant.hepsiburada.com/v2/listings?tab=all&amp;page=1&amp;pageSize=10&amp;search=HBV000002OBQ6" TargetMode="External" /><Relationship Id="rId43" Type="http://schemas.openxmlformats.org/officeDocument/2006/relationships/hyperlink" Target="https://merchant.hepsiburada.com/v2/listings?tab=all&amp;page=1&amp;pageSize=10&amp;search=HBCV0000A7T9AF" TargetMode="External" /><Relationship Id="rId44" Type="http://schemas.openxmlformats.org/officeDocument/2006/relationships/hyperlink" Target="https://merchant.hepsiburada.com/v2/listings?tab=all&amp;page=1&amp;pageSize=10&amp;search=HBCV0000090IOD" TargetMode="External" /><Relationship Id="rId45" Type="http://schemas.openxmlformats.org/officeDocument/2006/relationships/hyperlink" Target="https://merchant.hepsiburada.com/v2/listings?tab=all&amp;page=1&amp;pageSize=10&amp;search=HBCV000002FS92" TargetMode="External" /><Relationship Id="rId46" Type="http://schemas.openxmlformats.org/officeDocument/2006/relationships/hyperlink" Target="https://merchant.hepsiburada.com/v2/listings?tab=all&amp;page=1&amp;pageSize=10&amp;search=HBCV0000AAZFB1" TargetMode="External" /><Relationship Id="rId47" Type="http://schemas.openxmlformats.org/officeDocument/2006/relationships/hyperlink" Target="https://merchant.hepsiburada.com/v2/listings?tab=all&amp;page=1&amp;pageSize=10&amp;search=HBV000007F6PG" TargetMode="External" /><Relationship Id="rId48" Type="http://schemas.openxmlformats.org/officeDocument/2006/relationships/hyperlink" Target="https://merchant.hepsiburada.com/v2/listings?tab=all&amp;page=1&amp;pageSize=10&amp;search=HBCV00003AXTEB" TargetMode="External" /><Relationship Id="rId49" Type="http://schemas.openxmlformats.org/officeDocument/2006/relationships/hyperlink" Target="https://merchant.hepsiburada.com/v2/listings?tab=all&amp;page=1&amp;pageSize=10&amp;search=HBCV000094IQQY" TargetMode="External" /><Relationship Id="rId50" Type="http://schemas.openxmlformats.org/officeDocument/2006/relationships/hyperlink" Target="https://merchant.hepsiburada.com/v2/listings?tab=all&amp;page=1&amp;pageSize=10&amp;search=HBCV000094IRFH" TargetMode="External" /><Relationship Id="rId51" Type="http://schemas.openxmlformats.org/officeDocument/2006/relationships/hyperlink" Target="https://merchant.hepsiburada.com/v2/listings?tab=all&amp;page=1&amp;pageSize=10&amp;search=HBCV0000DH6BOM" TargetMode="External" /><Relationship Id="rId52" Type="http://schemas.openxmlformats.org/officeDocument/2006/relationships/hyperlink" Target="https://merchant.hepsiburada.com/v2/listings?tab=all&amp;page=1&amp;pageSize=10&amp;search=HBCV0000DH6AUH" TargetMode="External" /><Relationship Id="rId53" Type="http://schemas.openxmlformats.org/officeDocument/2006/relationships/hyperlink" Target="https://merchant.hepsiburada.com/v2/listings?tab=all&amp;page=1&amp;pageSize=10&amp;search=HBCV0000DH6AAX" TargetMode="External" /><Relationship Id="rId54" Type="http://schemas.openxmlformats.org/officeDocument/2006/relationships/hyperlink" Target="https://merchant.hepsiburada.com/v2/listings?tab=all&amp;page=1&amp;pageSize=10&amp;search=HBCV0000DH6C4C" TargetMode="External" /><Relationship Id="rId55" Type="http://schemas.openxmlformats.org/officeDocument/2006/relationships/hyperlink" Target="https://merchant.hepsiburada.com/v2/listings?tab=all&amp;page=1&amp;pageSize=10&amp;search=HBCV0000DH6BOO" TargetMode="External" /><Relationship Id="rId56" Type="http://schemas.openxmlformats.org/officeDocument/2006/relationships/hyperlink" Target="https://merchant.hepsiburada.com/v2/listings?tab=all&amp;page=1&amp;pageSize=10&amp;search=HBCV0000DH6AOC" TargetMode="External" /><Relationship Id="rId57" Type="http://schemas.openxmlformats.org/officeDocument/2006/relationships/hyperlink" Target="https://merchant.hepsiburada.com/v2/listings?tab=all&amp;page=1&amp;pageSize=10&amp;search=HBCV0000DH6CAA" TargetMode="External" /><Relationship Id="rId58" Type="http://schemas.openxmlformats.org/officeDocument/2006/relationships/hyperlink" Target="https://merchant.hepsiburada.com/v2/listings?tab=all&amp;page=1&amp;pageSize=10&amp;search=HBCV0000DH6AOL" TargetMode="External" /><Relationship Id="rId59" Type="http://schemas.openxmlformats.org/officeDocument/2006/relationships/hyperlink" Target="https://merchant.hepsiburada.com/v2/listings?tab=all&amp;page=1&amp;pageSize=10&amp;search=HBCV0000DH6BOW" TargetMode="External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Right="0" summaryBelow="0"/>
  </sheetPr>
  <sheetViews>
    <sheetView workbookViewId="0">
      <selection activeCell="B5" sqref="B5"/>
    </sheetView>
  </sheetViews>
  <sheetFormatPr baseColWidth="10" defaultColWidth="12.71094" defaultRowHeight="15" customHeight="1"/>
  <cols>
    <col min="1" max="1" width="35.28516" customWidth="1"/>
    <col min="2" max="2" width="44.14063" customWidth="1"/>
    <col min="3" max="3" width="30.71094" customWidth="1"/>
    <col min="4" max="26" width="14.42578" customWidth="1"/>
  </cols>
  <sheetData>
    <row r="1" ht="15.75" customHeight="1">
      <c r="A1" s="2" t="s">
        <v>0</v>
      </c>
      <c r="B1" s="2" t="s">
        <v>1</v>
      </c>
      <c r="C1" s="2" t="s">
        <v>2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</row>
    <row r="2" ht="14" customHeight="1">
      <c r="A2" s="4" t="s">
        <v>3</v>
      </c>
      <c r="B2" s="3" t="s">
        <v>4</v>
      </c>
      <c r="C2" s="5">
        <v>123456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ht="14" customHeight="1">
      <c r="A3" s="4" t="s">
        <v>5</v>
      </c>
      <c r="B3" s="3" t="s">
        <v>6</v>
      </c>
      <c r="C3" s="6" t="s">
        <v>7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ht="14" customHeight="1">
      <c r="A4" s="7" t="s">
        <v>8</v>
      </c>
      <c r="B4" s="8" t="s">
        <v>9</v>
      </c>
      <c r="C4" s="9" t="s">
        <v>10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</row>
    <row r="5" ht="13" customHeight="1">
      <c r="A5" s="10" t="s">
        <v>11</v>
      </c>
      <c r="B5" t="s">
        <v>12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ht="13" customHeight="1">
      <c r="A6" s="11" t="s">
        <v>13</v>
      </c>
      <c r="B6" s="12" t="s">
        <v>14</v>
      </c>
      <c r="C6" s="13" t="s">
        <v>15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ht="15.75" customHeight="1">
      <c r="A7" s="14" t="s">
        <v>16</v>
      </c>
      <c r="B7" s="3" t="s">
        <v>17</v>
      </c>
      <c r="C7" s="3">
        <v>12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ht="14" customHeight="1">
      <c r="A8" s="14" t="s">
        <v>18</v>
      </c>
      <c r="B8" s="3" t="s">
        <v>19</v>
      </c>
      <c r="C8" s="15" t="s">
        <v>20</v>
      </c>
      <c r="D8" s="3"/>
      <c r="E8" s="3"/>
      <c r="F8" s="3"/>
      <c r="G8" s="12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</row>
    <row r="9" ht="14" customHeight="1">
      <c r="A9" s="14" t="s">
        <v>21</v>
      </c>
      <c r="B9" s="3" t="s">
        <v>22</v>
      </c>
      <c r="C9" s="16">
        <v>44838.708333333343</v>
      </c>
      <c r="D9" s="3"/>
      <c r="E9" s="3"/>
      <c r="F9" s="3"/>
      <c r="G9" s="12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</row>
    <row r="10" ht="14" customHeight="1">
      <c r="A10" s="14" t="s">
        <v>23</v>
      </c>
      <c r="B10" s="3" t="s">
        <v>24</v>
      </c>
      <c r="C10" s="3">
        <v>100</v>
      </c>
      <c r="D10" s="3"/>
      <c r="E10" s="3"/>
      <c r="F10" s="3"/>
      <c r="G10" s="12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</row>
    <row r="11" ht="15.75" customHeight="1">
      <c r="A11" s="14" t="s">
        <v>25</v>
      </c>
      <c r="B11" s="3" t="s">
        <v>26</v>
      </c>
      <c r="C11" s="3">
        <v>8</v>
      </c>
      <c r="D11" s="3"/>
      <c r="E11" s="3"/>
      <c r="F11" s="3"/>
      <c r="G11" s="12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ht="15.75" customHeight="1">
      <c r="A12" s="14" t="s">
        <v>27</v>
      </c>
      <c r="B12" s="3" t="s">
        <v>28</v>
      </c>
      <c r="C12" s="17" t="s">
        <v>29</v>
      </c>
      <c r="D12" s="3"/>
      <c r="E12" s="3"/>
      <c r="F12" s="3"/>
      <c r="G12" s="12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ht="15.75" customHeight="1">
      <c r="A13" s="4" t="s">
        <v>30</v>
      </c>
      <c r="B13" s="3" t="s">
        <v>31</v>
      </c>
      <c r="C13" s="18">
        <v>0.14999999999999999</v>
      </c>
      <c r="D13" s="3"/>
      <c r="E13" s="3"/>
      <c r="F13" s="3"/>
      <c r="G13" s="12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ht="15.75" customHeight="1">
      <c r="A14" s="14" t="s">
        <v>32</v>
      </c>
      <c r="B14" s="3" t="s">
        <v>33</v>
      </c>
      <c r="C14" s="19">
        <v>0.080000000000000002</v>
      </c>
      <c r="D14" s="3"/>
      <c r="E14" s="3"/>
      <c r="F14" s="3"/>
      <c r="G14" s="12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ht="15.75" customHeight="1">
      <c r="A15" s="4" t="s">
        <v>34</v>
      </c>
      <c r="B15" s="3" t="s">
        <v>35</v>
      </c>
      <c r="C15" s="3"/>
      <c r="D15" s="3"/>
      <c r="E15" s="3"/>
      <c r="F15" s="3"/>
      <c r="G15" s="12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ht="15.75" customHeight="1">
      <c r="D16" s="3"/>
      <c r="E16" s="3"/>
      <c r="F16" s="3"/>
      <c r="G16" s="12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ht="15.75" customHeight="1">
      <c r="A17" s="3"/>
      <c r="B17" s="3"/>
      <c r="C17" s="3"/>
      <c r="D17" s="3"/>
      <c r="E17" s="3"/>
      <c r="F17" s="3"/>
      <c r="G17" s="12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ht="15.75" customHeight="1">
      <c r="A18" s="3"/>
      <c r="B18" s="3"/>
      <c r="C18" s="3"/>
      <c r="D18" s="3"/>
      <c r="E18" s="3"/>
      <c r="F18" s="3"/>
      <c r="G18" s="12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ht="15.75" customHeight="1">
      <c r="A19" s="3"/>
      <c r="B19" s="3"/>
      <c r="C19" s="3"/>
      <c r="D19" s="3"/>
      <c r="E19" s="3"/>
      <c r="F19" s="3"/>
      <c r="G19" s="12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ht="15.75" customHeight="1">
      <c r="A20" s="3"/>
      <c r="B20" s="3"/>
      <c r="C20" s="3"/>
      <c r="D20" s="3"/>
      <c r="E20" s="3"/>
      <c r="F20" s="3"/>
      <c r="G20" s="12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ht="15.75" customHeight="1">
      <c r="A21" s="3"/>
      <c r="B21" s="3"/>
      <c r="C21" s="3"/>
      <c r="D21" s="3"/>
      <c r="E21" s="3"/>
      <c r="F21" s="3"/>
      <c r="G21" s="12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ht="15.75" customHeight="1">
      <c r="A22" s="3"/>
      <c r="B22" s="3"/>
      <c r="C22" s="3"/>
      <c r="D22" s="3"/>
      <c r="E22" s="3"/>
      <c r="F22" s="3"/>
      <c r="G22" s="12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ht="15.7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</row>
    <row r="28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</row>
    <row r="30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hyperlinks>
    <hyperlink ref="C3" r:id="rId1"/>
  </hyperlinks>
  <pageMargins left="0.7" right="0.7" top="0.75" bottom="0.75" header="0" footer="0"/>
  <pageSetup paperSize="9" orientation="portrait"/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Right="0" summaryBelow="0"/>
  </sheetPr>
  <sheetViews>
    <sheetView tabSelected="1" workbookViewId="0">
      <pane activePane="bottomRight" state="frozen" topLeftCell="M38" xSplit="2" ySplit="1"/>
      <selection pane="topRight" activeCell="C1" sqref="C1"/>
      <selection pane="bottomLeft" activeCell="A2" sqref="A2"/>
      <selection pane="bottomRight" activeCell="N60" sqref="N60"/>
    </sheetView>
  </sheetViews>
  <sheetFormatPr baseColWidth="10" defaultColWidth="12.71094" defaultRowHeight="15" customHeight="1"/>
  <cols>
    <col min="1" max="1" width="12.71094" style="20" customWidth="1"/>
    <col min="2" max="2" width="75.85547" style="20" customWidth="1"/>
    <col min="3" max="4" width="25.28516" style="21" customWidth="1"/>
    <col min="5" max="5" width="20.85547" style="21" customWidth="1"/>
    <col min="6" max="6" width="7" style="21" customWidth="1"/>
    <col min="7" max="8" width="14.85547" style="21" customWidth="1"/>
    <col min="9" max="9" width="24.42578" style="21" customWidth="1"/>
    <col min="10" max="10" width="11" style="21" customWidth="1"/>
    <col min="11" max="11" width="18.85547" style="22" customWidth="1"/>
    <col min="12" max="12" width="24.42578" style="21" customWidth="1"/>
    <col min="13" max="13" width="11" style="21" customWidth="1"/>
    <col min="14" max="14" width="18.85547" style="22" customWidth="1"/>
    <col min="15" max="15" width="18.57031" style="21" customWidth="1"/>
    <col min="16" max="16" width="10.28516" style="21" customWidth="1"/>
    <col min="17" max="17" width="18.85547" style="22" customWidth="1"/>
    <col min="18" max="18" width="14.42578" style="22" customWidth="1"/>
    <col min="19" max="19" width="10.85547" style="21" customWidth="1"/>
    <col min="20" max="20" width="14.42578" style="21" customWidth="1"/>
    <col min="21" max="21" width="14.42578" style="23" customWidth="1"/>
    <col min="22" max="32" width="14.42578" style="21" customWidth="1"/>
    <col min="33" max="16384" width="12.71094" style="21" customWidth="1"/>
  </cols>
  <sheetData>
    <row r="1" s="1" customFormat="1" ht="51" customHeight="1">
      <c r="A1" s="24" t="s">
        <v>3</v>
      </c>
      <c r="B1" s="24" t="s">
        <v>5</v>
      </c>
      <c r="C1" s="25" t="s">
        <v>8</v>
      </c>
      <c r="D1" s="25" t="s">
        <v>11</v>
      </c>
      <c r="E1" s="25" t="s">
        <v>13</v>
      </c>
      <c r="F1" s="24" t="s">
        <v>16</v>
      </c>
      <c r="G1" s="24" t="s">
        <v>36</v>
      </c>
      <c r="H1" s="24" t="s">
        <v>21</v>
      </c>
      <c r="I1" s="26" t="s">
        <v>37</v>
      </c>
      <c r="J1" s="26" t="s">
        <v>38</v>
      </c>
      <c r="K1" s="27" t="s">
        <v>39</v>
      </c>
      <c r="L1" s="28" t="s">
        <v>40</v>
      </c>
      <c r="M1" s="28" t="s">
        <v>41</v>
      </c>
      <c r="N1" s="29" t="s">
        <v>42</v>
      </c>
      <c r="O1" s="30" t="s">
        <v>43</v>
      </c>
      <c r="P1" s="30" t="s">
        <v>44</v>
      </c>
      <c r="Q1" s="31" t="s">
        <v>45</v>
      </c>
      <c r="R1" s="32" t="s">
        <v>46</v>
      </c>
      <c r="S1" s="25" t="s">
        <v>30</v>
      </c>
      <c r="T1" s="25" t="s">
        <v>32</v>
      </c>
      <c r="U1" s="32" t="s">
        <v>47</v>
      </c>
      <c r="V1"/>
      <c r="W1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</row>
    <row r="2" ht="15.75" customHeight="1">
      <c r="A2" s="33">
        <v>135940778</v>
      </c>
      <c r="B2" s="33" t="s">
        <v>48</v>
      </c>
      <c r="C2" s="34" t="s">
        <v>49</v>
      </c>
      <c r="D2" s="34" t="s">
        <v>50</v>
      </c>
      <c r="E2" s="34" t="s">
        <v>51</v>
      </c>
      <c r="F2" s="34">
        <v>9</v>
      </c>
      <c r="G2" s="35">
        <v>46127.146887766197</v>
      </c>
      <c r="H2" s="35">
        <v>46133.999305555553</v>
      </c>
      <c r="I2" s="36" t="s">
        <v>52</v>
      </c>
      <c r="J2" s="37" t="s">
        <v>53</v>
      </c>
      <c r="K2" s="38">
        <v>1208</v>
      </c>
      <c r="L2" s="39" t="s">
        <v>54</v>
      </c>
      <c r="M2" s="40" t="s">
        <v>55</v>
      </c>
      <c r="N2" s="41">
        <v>1182</v>
      </c>
      <c r="O2" s="42" t="s">
        <v>56</v>
      </c>
      <c r="P2" s="42" t="s">
        <v>57</v>
      </c>
      <c r="Q2" s="43">
        <v>1143</v>
      </c>
      <c r="R2" s="44">
        <v>1299</v>
      </c>
      <c r="S2" s="45" t="s">
        <v>58</v>
      </c>
      <c r="T2" s="34" t="str">
        <f>IF(ISBLANK(U2),SUBSTITUTE("18 %",".",","),IF(U2&lt;=1143,SUBSTITUTE("5.7 %",".",","),IF(U2&lt;=1182,SUBSTITUTE("6.4 %",".",","),IF(U2&lt;=1208,SUBSTITUTE("7.1 %",".",","),SUBSTITUTE("18 %",".",",")))))</f>
        <v>7,1 %</v>
      </c>
      <c r="U2" s="46">
        <v>1208</v>
      </c>
      <c r="V2"/>
      <c r="W2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</row>
    <row r="3" ht="15.75" customHeight="1">
      <c r="A3" s="33">
        <v>135842540</v>
      </c>
      <c r="B3" s="33" t="s">
        <v>59</v>
      </c>
      <c r="C3" s="34" t="s">
        <v>60</v>
      </c>
      <c r="D3" s="34" t="s">
        <v>61</v>
      </c>
      <c r="E3" s="34" t="s">
        <v>51</v>
      </c>
      <c r="F3" s="34">
        <v>29</v>
      </c>
      <c r="G3" s="35">
        <v>46127.129810856481</v>
      </c>
      <c r="H3" s="35">
        <v>46133.999305555553</v>
      </c>
      <c r="I3" s="36" t="s">
        <v>62</v>
      </c>
      <c r="J3" s="37" t="s">
        <v>55</v>
      </c>
      <c r="K3" s="38">
        <v>1088</v>
      </c>
      <c r="L3" s="39" t="s">
        <v>63</v>
      </c>
      <c r="M3" s="39" t="s">
        <v>57</v>
      </c>
      <c r="N3" s="41">
        <v>1049</v>
      </c>
      <c r="O3" s="42" t="s">
        <v>64</v>
      </c>
      <c r="P3" s="42" t="s">
        <v>65</v>
      </c>
      <c r="Q3" s="43">
        <v>1013</v>
      </c>
      <c r="R3" s="44">
        <v>1299</v>
      </c>
      <c r="S3" s="45" t="s">
        <v>58</v>
      </c>
      <c r="T3" s="34" t="str">
        <f>IF(ISBLANK(U3),SUBSTITUTE("18 %",".",","),IF(U3&lt;=1013,SUBSTITUTE("5 %",".",","),IF(U3&lt;=1049,SUBSTITUTE("5.7 %",".",","),IF(U3&lt;=1088,SUBSTITUTE("6.4 %",".",","),SUBSTITUTE("18 %",".",",")))))</f>
        <v>6,4 %</v>
      </c>
      <c r="U3" s="46">
        <v>1088</v>
      </c>
      <c r="V3"/>
      <c r="W3"/>
      <c r="X3" s="48"/>
      <c r="Y3" s="48"/>
      <c r="Z3" s="48"/>
      <c r="AA3" s="48"/>
      <c r="AB3" s="48"/>
      <c r="AC3" s="48"/>
      <c r="AD3" s="48"/>
      <c r="AE3" s="48"/>
      <c r="AF3" s="48"/>
      <c r="AG3" s="48"/>
      <c r="AH3" s="48"/>
    </row>
    <row r="4" ht="15.75" customHeight="1">
      <c r="A4" s="33">
        <v>135838126</v>
      </c>
      <c r="B4" s="33" t="s">
        <v>66</v>
      </c>
      <c r="C4" s="34" t="s">
        <v>67</v>
      </c>
      <c r="D4" s="34" t="s">
        <v>61</v>
      </c>
      <c r="E4" s="34" t="s">
        <v>51</v>
      </c>
      <c r="F4" s="34">
        <v>5</v>
      </c>
      <c r="G4" s="35">
        <v>46127.128773124998</v>
      </c>
      <c r="H4" s="35">
        <v>46133.999305555553</v>
      </c>
      <c r="I4" s="36" t="s">
        <v>68</v>
      </c>
      <c r="J4" s="36" t="s">
        <v>55</v>
      </c>
      <c r="K4" s="38">
        <v>1103</v>
      </c>
      <c r="L4" s="39" t="s">
        <v>69</v>
      </c>
      <c r="M4" s="39" t="s">
        <v>57</v>
      </c>
      <c r="N4" s="41">
        <v>1064</v>
      </c>
      <c r="O4" s="42" t="s">
        <v>70</v>
      </c>
      <c r="P4" s="42" t="s">
        <v>65</v>
      </c>
      <c r="Q4" s="43">
        <v>1027</v>
      </c>
      <c r="R4" s="44">
        <v>1299</v>
      </c>
      <c r="S4" s="34" t="s">
        <v>58</v>
      </c>
      <c r="T4" s="34" t="str">
        <f>IF(ISBLANK(U4),SUBSTITUTE("18 %",".",","),IF(U4&lt;=1027,SUBSTITUTE("5 %",".",","),IF(U4&lt;=1064,SUBSTITUTE("5.7 %",".",","),IF(U4&lt;=1103,SUBSTITUTE("6.4 %",".",","),SUBSTITUTE("18 %",".",",")))))</f>
        <v>6,4 %</v>
      </c>
      <c r="U4" s="46">
        <v>1103</v>
      </c>
      <c r="V4"/>
      <c r="W4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8"/>
    </row>
    <row r="5" ht="15.75" customHeight="1">
      <c r="A5" s="33">
        <v>135837552</v>
      </c>
      <c r="B5" s="33" t="s">
        <v>59</v>
      </c>
      <c r="C5" s="34" t="s">
        <v>71</v>
      </c>
      <c r="D5" s="34" t="s">
        <v>61</v>
      </c>
      <c r="E5" s="34" t="s">
        <v>51</v>
      </c>
      <c r="F5" s="34">
        <v>3</v>
      </c>
      <c r="G5" s="35">
        <v>46127.12863983796</v>
      </c>
      <c r="H5" s="35">
        <v>46133.999305555553</v>
      </c>
      <c r="I5" s="36" t="s">
        <v>62</v>
      </c>
      <c r="J5" s="36" t="s">
        <v>55</v>
      </c>
      <c r="K5" s="38">
        <v>1088</v>
      </c>
      <c r="L5" s="39" t="s">
        <v>63</v>
      </c>
      <c r="M5" s="39" t="s">
        <v>57</v>
      </c>
      <c r="N5" s="41">
        <v>1049</v>
      </c>
      <c r="O5" s="42" t="s">
        <v>64</v>
      </c>
      <c r="P5" s="42" t="s">
        <v>65</v>
      </c>
      <c r="Q5" s="43">
        <v>1013</v>
      </c>
      <c r="R5" s="44">
        <v>1299</v>
      </c>
      <c r="S5" s="34" t="s">
        <v>58</v>
      </c>
      <c r="T5" s="34" t="str">
        <f>IF(ISBLANK(U5),SUBSTITUTE("18 %",".",","),IF(U5&lt;=1013,SUBSTITUTE("5 %",".",","),IF(U5&lt;=1049,SUBSTITUTE("5.7 %",".",","),IF(U5&lt;=1088,SUBSTITUTE("6.4 %",".",","),SUBSTITUTE("18 %",".",",")))))</f>
        <v>6,4 %</v>
      </c>
      <c r="U5" s="46">
        <v>1088</v>
      </c>
      <c r="V5"/>
      <c r="W5"/>
      <c r="X5" s="48"/>
      <c r="Y5" s="48"/>
      <c r="Z5" s="48"/>
      <c r="AA5" s="48"/>
      <c r="AB5" s="48"/>
      <c r="AC5" s="48"/>
      <c r="AD5" s="48"/>
      <c r="AE5" s="48"/>
      <c r="AF5" s="48"/>
      <c r="AG5" s="48"/>
      <c r="AH5" s="48"/>
    </row>
    <row r="6" ht="15.75" customHeight="1">
      <c r="A6" s="33">
        <v>135819827</v>
      </c>
      <c r="B6" s="33" t="s">
        <v>72</v>
      </c>
      <c r="C6" s="34" t="s">
        <v>73</v>
      </c>
      <c r="D6" s="34" t="s">
        <v>61</v>
      </c>
      <c r="E6" s="34" t="s">
        <v>51</v>
      </c>
      <c r="F6" s="34">
        <v>5</v>
      </c>
      <c r="G6" s="35">
        <v>46127.125264988434</v>
      </c>
      <c r="H6" s="35">
        <v>46133.999305555553</v>
      </c>
      <c r="I6" s="36" t="s">
        <v>68</v>
      </c>
      <c r="J6" s="36" t="s">
        <v>55</v>
      </c>
      <c r="K6" s="38">
        <v>1103</v>
      </c>
      <c r="L6" s="39" t="s">
        <v>69</v>
      </c>
      <c r="M6" s="39" t="s">
        <v>57</v>
      </c>
      <c r="N6" s="41">
        <v>1064</v>
      </c>
      <c r="O6" s="42" t="s">
        <v>70</v>
      </c>
      <c r="P6" s="42" t="s">
        <v>65</v>
      </c>
      <c r="Q6" s="43">
        <v>1027</v>
      </c>
      <c r="R6" s="44">
        <v>1299</v>
      </c>
      <c r="S6" s="34" t="s">
        <v>58</v>
      </c>
      <c r="T6" s="34" t="str">
        <f>IF(ISBLANK(U6),SUBSTITUTE("18 %",".",","),IF(U6&lt;=1027,SUBSTITUTE("5 %",".",","),IF(U6&lt;=1064,SUBSTITUTE("5.7 %",".",","),IF(U6&lt;=1103,SUBSTITUTE("6.4 %",".",","),SUBSTITUTE("18 %",".",",")))))</f>
        <v>6,4 %</v>
      </c>
      <c r="U6" s="46">
        <v>1103</v>
      </c>
      <c r="V6"/>
      <c r="W6"/>
      <c r="X6" s="48"/>
      <c r="Y6" s="48"/>
      <c r="Z6" s="48"/>
      <c r="AA6" s="48"/>
      <c r="AB6" s="48"/>
      <c r="AC6" s="48"/>
      <c r="AD6" s="48"/>
      <c r="AE6" s="48"/>
      <c r="AF6" s="48"/>
      <c r="AG6" s="48"/>
      <c r="AH6" s="48"/>
    </row>
    <row r="7" ht="15.75" customHeight="1">
      <c r="A7" s="33">
        <v>135830775</v>
      </c>
      <c r="B7" s="33" t="s">
        <v>74</v>
      </c>
      <c r="C7" s="34" t="s">
        <v>75</v>
      </c>
      <c r="D7" s="34" t="s">
        <v>76</v>
      </c>
      <c r="E7" s="34" t="s">
        <v>77</v>
      </c>
      <c r="F7" s="34">
        <v>29</v>
      </c>
      <c r="G7" s="35">
        <v>46127.1270347338</v>
      </c>
      <c r="H7" s="35">
        <v>46133.999305555553</v>
      </c>
      <c r="I7" s="36" t="s">
        <v>78</v>
      </c>
      <c r="J7" s="36" t="s">
        <v>55</v>
      </c>
      <c r="K7" s="38">
        <v>805</v>
      </c>
      <c r="L7" s="39" t="s">
        <v>79</v>
      </c>
      <c r="M7" s="39" t="s">
        <v>57</v>
      </c>
      <c r="N7" s="41">
        <v>788</v>
      </c>
      <c r="O7" s="42" t="s">
        <v>80</v>
      </c>
      <c r="P7" s="42" t="s">
        <v>65</v>
      </c>
      <c r="Q7" s="43">
        <v>754</v>
      </c>
      <c r="R7" s="44">
        <v>899</v>
      </c>
      <c r="S7" s="34" t="s">
        <v>58</v>
      </c>
      <c r="T7" s="34" t="str">
        <f>IF(ISBLANK(U7),SUBSTITUTE("18 %",".",","),IF(U7&lt;=754,SUBSTITUTE("5 %",".",","),IF(U7&lt;=788,SUBSTITUTE("5.7 %",".",","),IF(U7&lt;=805,SUBSTITUTE("6.4 %",".",","),SUBSTITUTE("18 %",".",",")))))</f>
        <v>6,4 %</v>
      </c>
      <c r="U7" s="46">
        <v>805</v>
      </c>
      <c r="V7"/>
      <c r="W7"/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</row>
    <row r="8" ht="15.75" customHeight="1">
      <c r="A8" s="33">
        <v>135805419</v>
      </c>
      <c r="B8" s="33" t="s">
        <v>74</v>
      </c>
      <c r="C8" s="34" t="s">
        <v>81</v>
      </c>
      <c r="D8" s="34" t="s">
        <v>76</v>
      </c>
      <c r="E8" s="34" t="s">
        <v>77</v>
      </c>
      <c r="F8" s="34">
        <v>5</v>
      </c>
      <c r="G8" s="35">
        <v>46127.123233761573</v>
      </c>
      <c r="H8" s="35">
        <v>46133.999305555553</v>
      </c>
      <c r="I8" s="36" t="s">
        <v>82</v>
      </c>
      <c r="J8" s="36" t="s">
        <v>55</v>
      </c>
      <c r="K8" s="38">
        <v>791</v>
      </c>
      <c r="L8" s="39" t="s">
        <v>83</v>
      </c>
      <c r="M8" s="39" t="s">
        <v>57</v>
      </c>
      <c r="N8" s="41">
        <v>774</v>
      </c>
      <c r="O8" s="42" t="s">
        <v>84</v>
      </c>
      <c r="P8" s="42" t="s">
        <v>65</v>
      </c>
      <c r="Q8" s="43">
        <v>742</v>
      </c>
      <c r="R8" s="44">
        <v>939</v>
      </c>
      <c r="S8" s="34" t="s">
        <v>58</v>
      </c>
      <c r="T8" s="34" t="str">
        <f>IF(ISBLANK(U8),SUBSTITUTE("18 %",".",","),IF(U8&lt;=742,SUBSTITUTE("5 %",".",","),IF(U8&lt;=774,SUBSTITUTE("5.7 %",".",","),IF(U8&lt;=791,SUBSTITUTE("6.4 %",".",","),SUBSTITUTE("18 %",".",",")))))</f>
        <v>18 %</v>
      </c>
      <c r="U8" s="49">
        <v>939</v>
      </c>
      <c r="V8"/>
      <c r="W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</row>
    <row r="9" ht="15.75" customHeight="1">
      <c r="A9" s="33">
        <v>135928378</v>
      </c>
      <c r="B9" s="33" t="s">
        <v>85</v>
      </c>
      <c r="C9" s="34" t="s">
        <v>86</v>
      </c>
      <c r="D9" s="34" t="s">
        <v>87</v>
      </c>
      <c r="E9" s="34" t="s">
        <v>88</v>
      </c>
      <c r="F9" s="34">
        <v>30</v>
      </c>
      <c r="G9" s="35">
        <v>46127.144389803238</v>
      </c>
      <c r="H9" s="35">
        <v>46133.999305555553</v>
      </c>
      <c r="I9" s="36" t="s">
        <v>89</v>
      </c>
      <c r="J9" s="36" t="s">
        <v>53</v>
      </c>
      <c r="K9" s="38">
        <v>507</v>
      </c>
      <c r="L9" s="39" t="s">
        <v>90</v>
      </c>
      <c r="M9" s="39" t="s">
        <v>55</v>
      </c>
      <c r="N9" s="41">
        <v>489</v>
      </c>
      <c r="O9" s="42" t="s">
        <v>91</v>
      </c>
      <c r="P9" s="42" t="s">
        <v>57</v>
      </c>
      <c r="Q9" s="43">
        <v>474</v>
      </c>
      <c r="R9" s="44">
        <v>649</v>
      </c>
      <c r="S9" s="34" t="s">
        <v>58</v>
      </c>
      <c r="T9" s="34" t="str">
        <f>IF(ISBLANK(U9),SUBSTITUTE("18 %",".",","),IF(U9&lt;=474,SUBSTITUTE("5.7 %",".",","),IF(U9&lt;=489,SUBSTITUTE("6.4 %",".",","),IF(U9&lt;=507,SUBSTITUTE("7.1 %",".",","),SUBSTITUTE("18 %",".",",")))))</f>
        <v>7,1 %</v>
      </c>
      <c r="U9" s="46">
        <v>507</v>
      </c>
      <c r="V9"/>
      <c r="W9"/>
      <c r="X9" s="48"/>
      <c r="Y9" s="48"/>
      <c r="Z9" s="48"/>
      <c r="AA9" s="48"/>
      <c r="AB9" s="48"/>
      <c r="AC9" s="48"/>
      <c r="AD9" s="48"/>
      <c r="AE9" s="48"/>
      <c r="AF9" s="48"/>
      <c r="AG9" s="48"/>
      <c r="AH9" s="48"/>
    </row>
    <row r="10" ht="15.75" customHeight="1">
      <c r="A10" s="33">
        <v>135893424</v>
      </c>
      <c r="B10" s="33" t="s">
        <v>92</v>
      </c>
      <c r="C10" s="34" t="s">
        <v>93</v>
      </c>
      <c r="D10" s="34" t="s">
        <v>87</v>
      </c>
      <c r="E10" s="34" t="s">
        <v>88</v>
      </c>
      <c r="F10" s="34">
        <v>29</v>
      </c>
      <c r="G10" s="35">
        <v>46127.138492129627</v>
      </c>
      <c r="H10" s="35">
        <v>46133.999305555553</v>
      </c>
      <c r="I10" s="36" t="s">
        <v>89</v>
      </c>
      <c r="J10" s="36" t="s">
        <v>53</v>
      </c>
      <c r="K10" s="38">
        <v>507</v>
      </c>
      <c r="L10" s="39" t="s">
        <v>90</v>
      </c>
      <c r="M10" s="39" t="s">
        <v>55</v>
      </c>
      <c r="N10" s="41">
        <v>489</v>
      </c>
      <c r="O10" s="42" t="s">
        <v>91</v>
      </c>
      <c r="P10" s="42" t="s">
        <v>57</v>
      </c>
      <c r="Q10" s="43">
        <v>474</v>
      </c>
      <c r="R10" s="44">
        <v>649</v>
      </c>
      <c r="S10" s="34" t="s">
        <v>58</v>
      </c>
      <c r="T10" s="34" t="str">
        <f>IF(ISBLANK(U10),SUBSTITUTE("18 %",".",","),IF(U10&lt;=474,SUBSTITUTE("5.7 %",".",","),IF(U10&lt;=489,SUBSTITUTE("6.4 %",".",","),IF(U10&lt;=507,SUBSTITUTE("7.1 %",".",","),SUBSTITUTE("18 %",".",",")))))</f>
        <v>7,1 %</v>
      </c>
      <c r="U10" s="46">
        <v>507</v>
      </c>
      <c r="V10"/>
      <c r="W10"/>
      <c r="X10" s="48"/>
      <c r="Y10" s="48"/>
      <c r="Z10" s="48"/>
      <c r="AA10" s="48"/>
      <c r="AB10" s="48"/>
      <c r="AC10" s="48"/>
      <c r="AD10" s="48"/>
      <c r="AE10" s="48"/>
      <c r="AF10" s="48"/>
      <c r="AG10" s="48"/>
      <c r="AH10" s="48"/>
    </row>
    <row r="11" ht="15.75" customHeight="1">
      <c r="A11" s="33">
        <v>135892887</v>
      </c>
      <c r="B11" s="33" t="s">
        <v>94</v>
      </c>
      <c r="C11" s="34" t="s">
        <v>95</v>
      </c>
      <c r="D11" s="34" t="s">
        <v>87</v>
      </c>
      <c r="E11" s="34" t="s">
        <v>88</v>
      </c>
      <c r="F11" s="34">
        <v>28</v>
      </c>
      <c r="G11" s="35">
        <v>46127.138384004633</v>
      </c>
      <c r="H11" s="35">
        <v>46133.999305555553</v>
      </c>
      <c r="I11" s="36" t="s">
        <v>89</v>
      </c>
      <c r="J11" s="36" t="s">
        <v>53</v>
      </c>
      <c r="K11" s="38">
        <v>507</v>
      </c>
      <c r="L11" s="39" t="s">
        <v>90</v>
      </c>
      <c r="M11" s="39" t="s">
        <v>55</v>
      </c>
      <c r="N11" s="41">
        <v>489</v>
      </c>
      <c r="O11" s="42" t="s">
        <v>91</v>
      </c>
      <c r="P11" s="42" t="s">
        <v>57</v>
      </c>
      <c r="Q11" s="43">
        <v>474</v>
      </c>
      <c r="R11" s="44">
        <v>649</v>
      </c>
      <c r="S11" s="34" t="s">
        <v>58</v>
      </c>
      <c r="T11" s="34" t="str">
        <f>IF(ISBLANK(U11),SUBSTITUTE("18 %",".",","),IF(U11&lt;=474,SUBSTITUTE("5.7 %",".",","),IF(U11&lt;=489,SUBSTITUTE("6.4 %",".",","),IF(U11&lt;=507,SUBSTITUTE("7.1 %",".",","),SUBSTITUTE("18 %",".",",")))))</f>
        <v>7,1 %</v>
      </c>
      <c r="U11" s="46">
        <v>507</v>
      </c>
      <c r="V11"/>
      <c r="W11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</row>
    <row r="12" ht="15.75" customHeight="1">
      <c r="A12" s="33">
        <v>135789190</v>
      </c>
      <c r="B12" s="33" t="s">
        <v>96</v>
      </c>
      <c r="C12" s="34" t="s">
        <v>97</v>
      </c>
      <c r="D12" s="34" t="s">
        <v>87</v>
      </c>
      <c r="E12" s="34" t="s">
        <v>88</v>
      </c>
      <c r="F12" s="34">
        <v>30</v>
      </c>
      <c r="G12" s="35">
        <v>46127.120908078701</v>
      </c>
      <c r="H12" s="35">
        <v>46133.999305555553</v>
      </c>
      <c r="I12" s="36" t="s">
        <v>98</v>
      </c>
      <c r="J12" s="36" t="s">
        <v>55</v>
      </c>
      <c r="K12" s="38">
        <v>505</v>
      </c>
      <c r="L12" s="39" t="s">
        <v>99</v>
      </c>
      <c r="M12" s="39" t="s">
        <v>57</v>
      </c>
      <c r="N12" s="41">
        <v>479</v>
      </c>
      <c r="O12" s="42" t="s">
        <v>100</v>
      </c>
      <c r="P12" s="42" t="s">
        <v>65</v>
      </c>
      <c r="Q12" s="43">
        <v>455</v>
      </c>
      <c r="R12" s="44">
        <v>649</v>
      </c>
      <c r="S12" s="34" t="s">
        <v>58</v>
      </c>
      <c r="T12" s="34" t="str">
        <f>IF(ISBLANK(U12),SUBSTITUTE("18 %",".",","),IF(U12&lt;=455,SUBSTITUTE("5 %",".",","),IF(U12&lt;=479,SUBSTITUTE("5.7 %",".",","),IF(U12&lt;=505,SUBSTITUTE("6.4 %",".",","),SUBSTITUTE("18 %",".",",")))))</f>
        <v>6,4 %</v>
      </c>
      <c r="U12" s="46">
        <v>505</v>
      </c>
      <c r="V12"/>
      <c r="W12"/>
      <c r="X12" s="48"/>
      <c r="Y12" s="48"/>
      <c r="Z12" s="48"/>
      <c r="AA12" s="48"/>
      <c r="AB12" s="48"/>
      <c r="AC12" s="48"/>
      <c r="AD12" s="48"/>
      <c r="AE12" s="48"/>
      <c r="AF12" s="48"/>
      <c r="AG12" s="48"/>
      <c r="AH12" s="48"/>
    </row>
    <row r="13" ht="15.75" customHeight="1">
      <c r="A13" s="33">
        <v>135912471</v>
      </c>
      <c r="B13" s="33" t="s">
        <v>101</v>
      </c>
      <c r="C13" s="34" t="s">
        <v>102</v>
      </c>
      <c r="D13" s="34" t="s">
        <v>103</v>
      </c>
      <c r="E13" s="34" t="s">
        <v>104</v>
      </c>
      <c r="F13" s="34">
        <v>20</v>
      </c>
      <c r="G13" s="35">
        <v>46127.141759027778</v>
      </c>
      <c r="H13" s="35">
        <v>46133.999305555553</v>
      </c>
      <c r="I13" s="36" t="s">
        <v>105</v>
      </c>
      <c r="J13" s="36" t="s">
        <v>106</v>
      </c>
      <c r="K13" s="38">
        <v>576</v>
      </c>
      <c r="L13" s="39" t="s">
        <v>107</v>
      </c>
      <c r="M13" s="39" t="s">
        <v>108</v>
      </c>
      <c r="N13" s="41">
        <v>547</v>
      </c>
      <c r="O13" s="42" t="s">
        <v>109</v>
      </c>
      <c r="P13" s="42" t="s">
        <v>65</v>
      </c>
      <c r="Q13" s="43">
        <v>519</v>
      </c>
      <c r="R13" s="44">
        <v>899</v>
      </c>
      <c r="S13" s="34" t="s">
        <v>58</v>
      </c>
      <c r="T13" s="34" t="str">
        <f>IF(ISBLANK(U13),SUBSTITUTE("18 %",".",","),IF(U13&lt;=519,SUBSTITUTE("5 %",".",","),IF(U13&lt;=547,SUBSTITUTE("5.9 %",".",","),IF(U13&lt;=576,SUBSTITUTE("6.8 %",".",","),SUBSTITUTE("18 %",".",",")))))</f>
        <v>18 %</v>
      </c>
      <c r="U13" s="49">
        <v>899</v>
      </c>
      <c r="V13"/>
      <c r="W13"/>
      <c r="X13" s="48"/>
      <c r="Y13" s="48"/>
      <c r="Z13" s="48"/>
      <c r="AA13" s="48"/>
      <c r="AB13" s="48"/>
      <c r="AC13" s="48"/>
      <c r="AD13" s="48"/>
      <c r="AE13" s="48"/>
      <c r="AF13" s="48"/>
      <c r="AG13" s="48"/>
      <c r="AH13" s="48"/>
    </row>
    <row r="14" ht="15.75" customHeight="1">
      <c r="A14" s="33">
        <v>135623780</v>
      </c>
      <c r="B14" s="33" t="s">
        <v>101</v>
      </c>
      <c r="C14" s="34" t="s">
        <v>110</v>
      </c>
      <c r="D14" s="34" t="s">
        <v>103</v>
      </c>
      <c r="E14" s="34" t="s">
        <v>104</v>
      </c>
      <c r="F14" s="34">
        <v>8</v>
      </c>
      <c r="G14" s="35">
        <v>46127.098548912043</v>
      </c>
      <c r="H14" s="35">
        <v>46133.999305555553</v>
      </c>
      <c r="I14" s="36" t="s">
        <v>111</v>
      </c>
      <c r="J14" s="36" t="s">
        <v>53</v>
      </c>
      <c r="K14" s="38">
        <v>652</v>
      </c>
      <c r="L14" s="39" t="s">
        <v>112</v>
      </c>
      <c r="M14" s="39" t="s">
        <v>113</v>
      </c>
      <c r="N14" s="41">
        <v>631</v>
      </c>
      <c r="O14" s="42" t="s">
        <v>114</v>
      </c>
      <c r="P14" s="42" t="s">
        <v>115</v>
      </c>
      <c r="Q14" s="43">
        <v>610</v>
      </c>
      <c r="R14" s="44">
        <v>899</v>
      </c>
      <c r="S14" s="34" t="s">
        <v>58</v>
      </c>
      <c r="T14" s="34" t="str">
        <f>IF(ISBLANK(U14),SUBSTITUTE("18 %",".",","),IF(U14&lt;=610,SUBSTITUTE("5.2 %",".",","),IF(U14&lt;=631,SUBSTITUTE("6.3 %",".",","),IF(U14&lt;=652,SUBSTITUTE("7.1 %",".",","),SUBSTITUTE("18 %",".",",")))))</f>
        <v>18 %</v>
      </c>
      <c r="U14" s="49">
        <v>899</v>
      </c>
      <c r="V14"/>
      <c r="W14"/>
      <c r="X14" s="48"/>
      <c r="Y14" s="48"/>
      <c r="Z14" s="48"/>
      <c r="AA14" s="48"/>
      <c r="AB14" s="48"/>
      <c r="AC14" s="48"/>
      <c r="AD14" s="48"/>
      <c r="AE14" s="48"/>
      <c r="AF14" s="48"/>
      <c r="AG14" s="48"/>
      <c r="AH14" s="48"/>
    </row>
    <row r="15" ht="15.75" customHeight="1">
      <c r="A15" s="33">
        <v>135623220</v>
      </c>
      <c r="B15" s="33" t="s">
        <v>101</v>
      </c>
      <c r="C15" s="34" t="s">
        <v>116</v>
      </c>
      <c r="D15" s="34" t="s">
        <v>103</v>
      </c>
      <c r="E15" s="34" t="s">
        <v>104</v>
      </c>
      <c r="F15" s="34">
        <v>1</v>
      </c>
      <c r="G15" s="35">
        <v>46127.098477094907</v>
      </c>
      <c r="H15" s="35">
        <v>46133.999305555553</v>
      </c>
      <c r="I15" s="36" t="s">
        <v>111</v>
      </c>
      <c r="J15" s="36" t="s">
        <v>53</v>
      </c>
      <c r="K15" s="38">
        <v>652</v>
      </c>
      <c r="L15" s="39" t="s">
        <v>112</v>
      </c>
      <c r="M15" s="39" t="s">
        <v>113</v>
      </c>
      <c r="N15" s="41">
        <v>631</v>
      </c>
      <c r="O15" s="42" t="s">
        <v>114</v>
      </c>
      <c r="P15" s="42" t="s">
        <v>117</v>
      </c>
      <c r="Q15" s="43">
        <v>610</v>
      </c>
      <c r="R15" s="44">
        <v>899</v>
      </c>
      <c r="S15" s="34" t="s">
        <v>58</v>
      </c>
      <c r="T15" s="34" t="str">
        <f>IF(ISBLANK(U15),SUBSTITUTE("18 %",".",","),IF(U15&lt;=610,SUBSTITUTE("5.3 %",".",","),IF(U15&lt;=631,SUBSTITUTE("6.3 %",".",","),IF(U15&lt;=652,SUBSTITUTE("7.1 %",".",","),SUBSTITUTE("18 %",".",",")))))</f>
        <v>18 %</v>
      </c>
      <c r="U15" s="49">
        <v>899</v>
      </c>
      <c r="V15"/>
      <c r="W15"/>
      <c r="X15" s="48"/>
      <c r="Y15" s="48"/>
      <c r="Z15" s="48"/>
      <c r="AA15" s="48"/>
      <c r="AB15" s="48"/>
      <c r="AC15" s="48"/>
      <c r="AD15" s="48"/>
      <c r="AE15" s="48"/>
      <c r="AF15" s="48"/>
      <c r="AG15" s="48"/>
      <c r="AH15" s="48"/>
    </row>
    <row r="16" ht="15.75" customHeight="1">
      <c r="A16" s="33">
        <v>135866692</v>
      </c>
      <c r="B16" s="33" t="s">
        <v>118</v>
      </c>
      <c r="C16" s="34" t="s">
        <v>119</v>
      </c>
      <c r="D16" s="34" t="s">
        <v>120</v>
      </c>
      <c r="E16" s="34" t="s">
        <v>104</v>
      </c>
      <c r="F16" s="34">
        <v>11</v>
      </c>
      <c r="G16" s="35">
        <v>46127.134116388886</v>
      </c>
      <c r="H16" s="35">
        <v>46133.999305555553</v>
      </c>
      <c r="I16" s="36" t="s">
        <v>121</v>
      </c>
      <c r="J16" s="36" t="s">
        <v>122</v>
      </c>
      <c r="K16" s="38">
        <v>577</v>
      </c>
      <c r="L16" s="39" t="s">
        <v>123</v>
      </c>
      <c r="M16" s="39" t="s">
        <v>124</v>
      </c>
      <c r="N16" s="41">
        <v>548</v>
      </c>
      <c r="O16" s="42" t="s">
        <v>125</v>
      </c>
      <c r="P16" s="42" t="s">
        <v>65</v>
      </c>
      <c r="Q16" s="43">
        <v>520</v>
      </c>
      <c r="R16" s="44">
        <v>799</v>
      </c>
      <c r="S16" s="34" t="s">
        <v>58</v>
      </c>
      <c r="T16" s="34" t="str">
        <f>IF(ISBLANK(U16),SUBSTITUTE("18 %",".",","),IF(U16&lt;=520,SUBSTITUTE("5 %",".",","),IF(U16&lt;=548,SUBSTITUTE("5.8 %",".",","),IF(U16&lt;=577,SUBSTITUTE("6.6 %",".",","),SUBSTITUTE("18 %",".",",")))))</f>
        <v>18 %</v>
      </c>
      <c r="U16" s="49">
        <v>799</v>
      </c>
      <c r="V16"/>
      <c r="W16"/>
      <c r="X16" s="48"/>
      <c r="Y16" s="48"/>
      <c r="Z16" s="48"/>
      <c r="AA16" s="48"/>
      <c r="AB16" s="48"/>
      <c r="AC16" s="48"/>
      <c r="AD16" s="48"/>
      <c r="AE16" s="48"/>
      <c r="AF16" s="48"/>
      <c r="AG16" s="48"/>
      <c r="AH16" s="48"/>
    </row>
    <row r="17" ht="15.75" customHeight="1">
      <c r="A17" s="33">
        <v>135622952</v>
      </c>
      <c r="B17" s="33" t="s">
        <v>118</v>
      </c>
      <c r="C17" s="34" t="s">
        <v>126</v>
      </c>
      <c r="D17" s="34" t="s">
        <v>120</v>
      </c>
      <c r="E17" s="34" t="s">
        <v>104</v>
      </c>
      <c r="F17" s="34">
        <v>23</v>
      </c>
      <c r="G17" s="35">
        <v>46127.098442719907</v>
      </c>
      <c r="H17" s="35">
        <v>46133.999305555553</v>
      </c>
      <c r="I17" s="36" t="s">
        <v>127</v>
      </c>
      <c r="J17" s="36" t="s">
        <v>128</v>
      </c>
      <c r="K17" s="38">
        <v>601</v>
      </c>
      <c r="L17" s="39" t="s">
        <v>129</v>
      </c>
      <c r="M17" s="39" t="s">
        <v>130</v>
      </c>
      <c r="N17" s="41">
        <v>581</v>
      </c>
      <c r="O17" s="42" t="s">
        <v>131</v>
      </c>
      <c r="P17" s="42" t="s">
        <v>132</v>
      </c>
      <c r="Q17" s="43">
        <v>561</v>
      </c>
      <c r="R17" s="44">
        <v>799</v>
      </c>
      <c r="S17" s="34" t="s">
        <v>58</v>
      </c>
      <c r="T17" s="34" t="str">
        <f>IF(ISBLANK(U17),SUBSTITUTE("18 %",".",","),IF(U17&lt;=561,SUBSTITUTE("5.6 %",".",","),IF(U17&lt;=581,SUBSTITUTE("6.7 %",".",","),IF(U17&lt;=601,SUBSTITUTE("7.5 %",".",","),SUBSTITUTE("18 %",".",",")))))</f>
        <v>18 %</v>
      </c>
      <c r="U17" s="49">
        <v>799</v>
      </c>
      <c r="V17"/>
      <c r="W17"/>
      <c r="X17" s="48"/>
      <c r="Y17" s="48"/>
      <c r="Z17" s="48"/>
      <c r="AA17" s="48"/>
      <c r="AB17" s="48"/>
      <c r="AC17" s="48"/>
      <c r="AD17" s="48"/>
      <c r="AE17" s="48"/>
      <c r="AF17" s="48"/>
      <c r="AG17" s="48"/>
      <c r="AH17" s="48"/>
    </row>
    <row r="18" ht="15.75" customHeight="1">
      <c r="A18" s="33">
        <v>135951698</v>
      </c>
      <c r="B18" s="33" t="s">
        <v>133</v>
      </c>
      <c r="C18" s="34" t="s">
        <v>134</v>
      </c>
      <c r="D18" s="34" t="s">
        <v>135</v>
      </c>
      <c r="E18" s="34" t="s">
        <v>77</v>
      </c>
      <c r="F18" s="34">
        <v>2</v>
      </c>
      <c r="G18" s="35">
        <v>46127.149697037043</v>
      </c>
      <c r="H18" s="35">
        <v>46133.999305555553</v>
      </c>
      <c r="I18" s="36" t="s">
        <v>136</v>
      </c>
      <c r="J18" s="36" t="s">
        <v>137</v>
      </c>
      <c r="K18" s="38">
        <v>516</v>
      </c>
      <c r="L18" s="39" t="s">
        <v>138</v>
      </c>
      <c r="M18" s="39" t="s">
        <v>139</v>
      </c>
      <c r="N18" s="41">
        <v>498</v>
      </c>
      <c r="O18" s="42" t="s">
        <v>140</v>
      </c>
      <c r="P18" s="42" t="s">
        <v>141</v>
      </c>
      <c r="Q18" s="43">
        <v>481</v>
      </c>
      <c r="R18" s="44">
        <v>769</v>
      </c>
      <c r="S18" s="34" t="s">
        <v>58</v>
      </c>
      <c r="T18" s="34" t="str">
        <f>IF(ISBLANK(U18),SUBSTITUTE("18 %",".",","),IF(U18&lt;=481,SUBSTITUTE("5.1 %",".",","),IF(U18&lt;=498,SUBSTITUTE("6.5 %",".",","),IF(U18&lt;=516,SUBSTITUTE("7.2 %",".",","),SUBSTITUTE("18 %",".",",")))))</f>
        <v>18 %</v>
      </c>
      <c r="U18" s="49">
        <v>769</v>
      </c>
      <c r="V18"/>
      <c r="W1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</row>
    <row r="19" ht="15.75" customHeight="1">
      <c r="A19" s="33">
        <v>135919241</v>
      </c>
      <c r="B19" s="33" t="s">
        <v>142</v>
      </c>
      <c r="C19" s="34" t="s">
        <v>143</v>
      </c>
      <c r="D19" s="34" t="s">
        <v>135</v>
      </c>
      <c r="E19" s="34" t="s">
        <v>77</v>
      </c>
      <c r="F19" s="34">
        <v>18</v>
      </c>
      <c r="G19" s="35">
        <v>46127.142783553238</v>
      </c>
      <c r="H19" s="35">
        <v>46133.999305555553</v>
      </c>
      <c r="I19" s="36" t="s">
        <v>144</v>
      </c>
      <c r="J19" s="36" t="s">
        <v>137</v>
      </c>
      <c r="K19" s="38">
        <v>523</v>
      </c>
      <c r="L19" s="39" t="s">
        <v>145</v>
      </c>
      <c r="M19" s="39" t="s">
        <v>139</v>
      </c>
      <c r="N19" s="41">
        <v>506</v>
      </c>
      <c r="O19" s="42" t="s">
        <v>146</v>
      </c>
      <c r="P19" s="42" t="s">
        <v>147</v>
      </c>
      <c r="Q19" s="43">
        <v>489</v>
      </c>
      <c r="R19" s="44">
        <v>745.92999999999995</v>
      </c>
      <c r="S19" s="34" t="s">
        <v>58</v>
      </c>
      <c r="T19" s="34" t="str">
        <f>IF(ISBLANK(U19),SUBSTITUTE("18 %",".",","),IF(U19&lt;=489,SUBSTITUTE("5.4 %",".",","),IF(U19&lt;=506,SUBSTITUTE("6.5 %",".",","),IF(U19&lt;=523,SUBSTITUTE("7.2 %",".",","),SUBSTITUTE("18 %",".",",")))))</f>
        <v>18 %</v>
      </c>
      <c r="U19" s="49">
        <v>745.92999999999995</v>
      </c>
      <c r="V19"/>
      <c r="W19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</row>
    <row r="20" ht="15.75" customHeight="1">
      <c r="A20" s="33">
        <v>135958339</v>
      </c>
      <c r="B20" s="33" t="s">
        <v>148</v>
      </c>
      <c r="C20" s="34" t="s">
        <v>149</v>
      </c>
      <c r="D20" s="34" t="s">
        <v>150</v>
      </c>
      <c r="E20" s="34" t="s">
        <v>77</v>
      </c>
      <c r="F20" s="34">
        <v>22</v>
      </c>
      <c r="G20" s="35">
        <v>46127.152192592592</v>
      </c>
      <c r="H20" s="35">
        <v>46133.999305555553</v>
      </c>
      <c r="I20" s="36" t="s">
        <v>151</v>
      </c>
      <c r="J20" s="36" t="s">
        <v>152</v>
      </c>
      <c r="K20" s="38">
        <v>490</v>
      </c>
      <c r="L20" s="39" t="s">
        <v>153</v>
      </c>
      <c r="M20" s="39" t="s">
        <v>106</v>
      </c>
      <c r="N20" s="41">
        <v>474</v>
      </c>
      <c r="O20" s="42" t="s">
        <v>154</v>
      </c>
      <c r="P20" s="42" t="s">
        <v>57</v>
      </c>
      <c r="Q20" s="43">
        <v>458</v>
      </c>
      <c r="R20" s="44">
        <v>769</v>
      </c>
      <c r="S20" s="34" t="s">
        <v>58</v>
      </c>
      <c r="T20" s="34" t="str">
        <f>IF(ISBLANK(U20),SUBSTITUTE("18 %",".",","),IF(U20&lt;=458,SUBSTITUTE("5.7 %",".",","),IF(U20&lt;=474,SUBSTITUTE("6.8 %",".",","),IF(U20&lt;=490,SUBSTITUTE("7.4 %",".",","),SUBSTITUTE("18 %",".",",")))))</f>
        <v>18 %</v>
      </c>
      <c r="U20" s="49">
        <v>769</v>
      </c>
      <c r="V20"/>
      <c r="W20"/>
      <c r="X20" s="48"/>
      <c r="Y20" s="48"/>
      <c r="Z20" s="48"/>
      <c r="AA20" s="48"/>
      <c r="AB20" s="48"/>
      <c r="AC20" s="48"/>
      <c r="AD20" s="48"/>
      <c r="AE20" s="48"/>
      <c r="AF20" s="48"/>
      <c r="AG20" s="48"/>
      <c r="AH20" s="48"/>
    </row>
    <row r="21" ht="15.75" customHeight="1">
      <c r="A21" s="33">
        <v>135915828</v>
      </c>
      <c r="B21" s="33" t="s">
        <v>155</v>
      </c>
      <c r="C21" s="34" t="s">
        <v>156</v>
      </c>
      <c r="D21" s="34" t="s">
        <v>150</v>
      </c>
      <c r="E21" s="45" t="s">
        <v>77</v>
      </c>
      <c r="F21" s="34">
        <v>24</v>
      </c>
      <c r="G21" s="35">
        <v>46127.142277418992</v>
      </c>
      <c r="H21" s="35">
        <v>46133.999305555553</v>
      </c>
      <c r="I21" s="36" t="s">
        <v>157</v>
      </c>
      <c r="J21" s="36" t="s">
        <v>158</v>
      </c>
      <c r="K21" s="38">
        <v>499</v>
      </c>
      <c r="L21" s="39" t="s">
        <v>159</v>
      </c>
      <c r="M21" s="39" t="s">
        <v>160</v>
      </c>
      <c r="N21" s="41">
        <v>482</v>
      </c>
      <c r="O21" s="42" t="s">
        <v>161</v>
      </c>
      <c r="P21" s="42" t="s">
        <v>115</v>
      </c>
      <c r="Q21" s="43">
        <v>465</v>
      </c>
      <c r="R21" s="44">
        <v>769</v>
      </c>
      <c r="S21" s="34" t="s">
        <v>58</v>
      </c>
      <c r="T21" s="34" t="str">
        <f>IF(ISBLANK(U21),SUBSTITUTE("18 %",".",","),IF(U21&lt;=465,SUBSTITUTE("5.2 %",".",","),IF(U21&lt;=482,SUBSTITUTE("6.2 %",".",","),IF(U21&lt;=499,SUBSTITUTE("10.1 %",".",","),SUBSTITUTE("18 %",".",",")))))</f>
        <v>18 %</v>
      </c>
      <c r="U21" s="49">
        <v>769</v>
      </c>
      <c r="V21"/>
      <c r="W21"/>
      <c r="X21" s="48"/>
      <c r="Y21" s="48"/>
      <c r="Z21" s="48"/>
      <c r="AA21" s="48"/>
      <c r="AB21" s="48"/>
      <c r="AC21" s="48"/>
      <c r="AD21" s="48"/>
      <c r="AE21" s="48"/>
      <c r="AF21" s="48"/>
      <c r="AG21" s="48"/>
      <c r="AH21" s="48"/>
    </row>
    <row r="22" ht="15.75" customHeight="1">
      <c r="A22" s="33">
        <v>135952004</v>
      </c>
      <c r="B22" s="33" t="s">
        <v>162</v>
      </c>
      <c r="C22" s="34" t="s">
        <v>163</v>
      </c>
      <c r="D22" s="34" t="s">
        <v>164</v>
      </c>
      <c r="E22" s="34" t="s">
        <v>77</v>
      </c>
      <c r="F22" s="34">
        <v>4</v>
      </c>
      <c r="G22" s="35">
        <v>46127.149793391203</v>
      </c>
      <c r="H22" s="35">
        <v>46133.999305555553</v>
      </c>
      <c r="I22" s="36" t="s">
        <v>165</v>
      </c>
      <c r="J22" s="36" t="s">
        <v>166</v>
      </c>
      <c r="K22" s="38">
        <v>678</v>
      </c>
      <c r="L22" s="39" t="s">
        <v>167</v>
      </c>
      <c r="M22" s="39" t="s">
        <v>139</v>
      </c>
      <c r="N22" s="41">
        <v>656</v>
      </c>
      <c r="O22" s="42" t="s">
        <v>168</v>
      </c>
      <c r="P22" s="42" t="s">
        <v>169</v>
      </c>
      <c r="Q22" s="43">
        <v>635</v>
      </c>
      <c r="R22" s="44">
        <v>999</v>
      </c>
      <c r="S22" s="34" t="s">
        <v>58</v>
      </c>
      <c r="T22" s="34" t="str">
        <f>IF(ISBLANK(U22),SUBSTITUTE("18 %",".",","),IF(U22&lt;=635,SUBSTITUTE("5.5 %",".",","),IF(U22&lt;=656,SUBSTITUTE("6.5 %",".",","),IF(U22&lt;=678,SUBSTITUTE("7.3 %",".",","),SUBSTITUTE("18 %",".",",")))))</f>
        <v>18 %</v>
      </c>
      <c r="U22" s="49">
        <v>999</v>
      </c>
      <c r="V22"/>
      <c r="W22"/>
      <c r="X22" s="48"/>
      <c r="Y22" s="48"/>
      <c r="Z22" s="48"/>
      <c r="AA22" s="48"/>
      <c r="AB22" s="48"/>
      <c r="AC22" s="48"/>
      <c r="AD22" s="48"/>
      <c r="AE22" s="48"/>
      <c r="AF22" s="48"/>
      <c r="AG22" s="48"/>
      <c r="AH22" s="48"/>
    </row>
    <row r="23" ht="15.75" customHeight="1">
      <c r="A23" s="33">
        <v>135926729</v>
      </c>
      <c r="B23" s="33" t="s">
        <v>170</v>
      </c>
      <c r="C23" s="34" t="s">
        <v>171</v>
      </c>
      <c r="D23" s="34" t="s">
        <v>164</v>
      </c>
      <c r="E23" s="34" t="s">
        <v>77</v>
      </c>
      <c r="F23" s="34">
        <v>28</v>
      </c>
      <c r="G23" s="35">
        <v>46127.144094456024</v>
      </c>
      <c r="H23" s="35">
        <v>46133.999305555553</v>
      </c>
      <c r="I23" s="36" t="s">
        <v>165</v>
      </c>
      <c r="J23" s="36" t="s">
        <v>128</v>
      </c>
      <c r="K23" s="38">
        <v>678</v>
      </c>
      <c r="L23" s="39" t="s">
        <v>167</v>
      </c>
      <c r="M23" s="39" t="s">
        <v>106</v>
      </c>
      <c r="N23" s="41">
        <v>656</v>
      </c>
      <c r="O23" s="42" t="s">
        <v>168</v>
      </c>
      <c r="P23" s="42" t="s">
        <v>132</v>
      </c>
      <c r="Q23" s="43">
        <v>635</v>
      </c>
      <c r="R23" s="44">
        <v>999</v>
      </c>
      <c r="S23" s="34" t="s">
        <v>58</v>
      </c>
      <c r="T23" s="34" t="str">
        <f>IF(ISBLANK(U23),SUBSTITUTE("18 %",".",","),IF(U23&lt;=635,SUBSTITUTE("5.6 %",".",","),IF(U23&lt;=656,SUBSTITUTE("6.8 %",".",","),IF(U23&lt;=678,SUBSTITUTE("7.5 %",".",","),SUBSTITUTE("18 %",".",",")))))</f>
        <v>18 %</v>
      </c>
      <c r="U23" s="49">
        <v>999</v>
      </c>
      <c r="V23"/>
      <c r="W23"/>
      <c r="X23" s="48"/>
      <c r="Y23" s="48"/>
      <c r="Z23" s="48"/>
      <c r="AA23" s="48"/>
      <c r="AB23" s="48"/>
      <c r="AC23" s="48"/>
      <c r="AD23" s="48"/>
      <c r="AE23" s="48"/>
      <c r="AF23" s="48"/>
      <c r="AG23" s="48"/>
      <c r="AH23" s="48"/>
    </row>
    <row r="24" ht="15.75" customHeight="1">
      <c r="A24" s="33">
        <v>135918837</v>
      </c>
      <c r="B24" s="33" t="s">
        <v>162</v>
      </c>
      <c r="C24" s="34" t="s">
        <v>172</v>
      </c>
      <c r="D24" s="34" t="s">
        <v>164</v>
      </c>
      <c r="E24" s="34" t="s">
        <v>77</v>
      </c>
      <c r="F24" s="34">
        <v>4</v>
      </c>
      <c r="G24" s="35">
        <v>46127.142724826394</v>
      </c>
      <c r="H24" s="35">
        <v>46133.999305555553</v>
      </c>
      <c r="I24" s="36" t="s">
        <v>165</v>
      </c>
      <c r="J24" s="36" t="s">
        <v>166</v>
      </c>
      <c r="K24" s="38">
        <v>678</v>
      </c>
      <c r="L24" s="39" t="s">
        <v>167</v>
      </c>
      <c r="M24" s="39" t="s">
        <v>139</v>
      </c>
      <c r="N24" s="41">
        <v>656</v>
      </c>
      <c r="O24" s="42" t="s">
        <v>168</v>
      </c>
      <c r="P24" s="42" t="s">
        <v>169</v>
      </c>
      <c r="Q24" s="43">
        <v>635</v>
      </c>
      <c r="R24" s="44">
        <v>999</v>
      </c>
      <c r="S24" s="34" t="s">
        <v>58</v>
      </c>
      <c r="T24" s="34" t="str">
        <f>IF(ISBLANK(U24),SUBSTITUTE("18 %",".",","),IF(U24&lt;=635,SUBSTITUTE("5.5 %",".",","),IF(U24&lt;=656,SUBSTITUTE("6.5 %",".",","),IF(U24&lt;=678,SUBSTITUTE("7.3 %",".",","),SUBSTITUTE("18 %",".",",")))))</f>
        <v>18 %</v>
      </c>
      <c r="U24" s="49">
        <v>999</v>
      </c>
      <c r="V24"/>
      <c r="W24"/>
      <c r="X24" s="48"/>
      <c r="Y24" s="48"/>
      <c r="Z24" s="48"/>
      <c r="AA24" s="48"/>
      <c r="AB24" s="48"/>
      <c r="AC24" s="48"/>
      <c r="AD24" s="48"/>
      <c r="AE24" s="48"/>
      <c r="AF24" s="48"/>
      <c r="AG24" s="48"/>
      <c r="AH24" s="48"/>
    </row>
    <row r="25" ht="15.75" customHeight="1">
      <c r="A25" s="33">
        <v>135882668</v>
      </c>
      <c r="B25" s="33" t="s">
        <v>162</v>
      </c>
      <c r="C25" s="34" t="s">
        <v>173</v>
      </c>
      <c r="D25" s="34" t="s">
        <v>164</v>
      </c>
      <c r="E25" s="34" t="s">
        <v>77</v>
      </c>
      <c r="F25" s="34">
        <v>3</v>
      </c>
      <c r="G25" s="35">
        <v>46127.136660810182</v>
      </c>
      <c r="H25" s="35">
        <v>46133.999305555553</v>
      </c>
      <c r="I25" s="36" t="s">
        <v>165</v>
      </c>
      <c r="J25" s="36" t="s">
        <v>174</v>
      </c>
      <c r="K25" s="38">
        <v>678</v>
      </c>
      <c r="L25" s="39" t="s">
        <v>167</v>
      </c>
      <c r="M25" s="39" t="s">
        <v>175</v>
      </c>
      <c r="N25" s="41">
        <v>656</v>
      </c>
      <c r="O25" s="42" t="s">
        <v>168</v>
      </c>
      <c r="P25" s="42" t="s">
        <v>141</v>
      </c>
      <c r="Q25" s="43">
        <v>635</v>
      </c>
      <c r="R25" s="44">
        <v>999</v>
      </c>
      <c r="S25" s="34" t="s">
        <v>58</v>
      </c>
      <c r="T25" s="34" t="str">
        <f>IF(ISBLANK(U25),SUBSTITUTE("18 %",".",","),IF(U25&lt;=635,SUBSTITUTE("5.1 %",".",","),IF(U25&lt;=656,SUBSTITUTE("6.1 %",".",","),IF(U25&lt;=678,SUBSTITUTE("6.9 %",".",","),SUBSTITUTE("18 %",".",",")))))</f>
        <v>18 %</v>
      </c>
      <c r="U25" s="49">
        <v>999</v>
      </c>
      <c r="V25"/>
      <c r="W25"/>
      <c r="X25" s="48"/>
      <c r="Y25" s="48"/>
      <c r="Z25" s="48"/>
      <c r="AA25" s="48"/>
      <c r="AB25" s="48"/>
      <c r="AC25" s="48"/>
      <c r="AD25" s="48"/>
      <c r="AE25" s="48"/>
      <c r="AF25" s="48"/>
      <c r="AG25" s="48"/>
      <c r="AH25" s="48"/>
    </row>
    <row r="26" ht="15.75" customHeight="1">
      <c r="A26" s="33">
        <v>135826194</v>
      </c>
      <c r="B26" s="33" t="s">
        <v>162</v>
      </c>
      <c r="C26" s="34" t="s">
        <v>176</v>
      </c>
      <c r="D26" s="34" t="s">
        <v>164</v>
      </c>
      <c r="E26" s="34" t="s">
        <v>77</v>
      </c>
      <c r="F26" s="34">
        <v>4</v>
      </c>
      <c r="G26" s="35">
        <v>46127.126126446761</v>
      </c>
      <c r="H26" s="35">
        <v>46133.999305555553</v>
      </c>
      <c r="I26" s="36" t="s">
        <v>177</v>
      </c>
      <c r="J26" s="36" t="s">
        <v>55</v>
      </c>
      <c r="K26" s="38">
        <v>716</v>
      </c>
      <c r="L26" s="39" t="s">
        <v>178</v>
      </c>
      <c r="M26" s="39" t="s">
        <v>57</v>
      </c>
      <c r="N26" s="41">
        <v>692</v>
      </c>
      <c r="O26" s="42" t="s">
        <v>179</v>
      </c>
      <c r="P26" s="42" t="s">
        <v>65</v>
      </c>
      <c r="Q26" s="43">
        <v>669</v>
      </c>
      <c r="R26" s="44">
        <v>999</v>
      </c>
      <c r="S26" s="34" t="s">
        <v>58</v>
      </c>
      <c r="T26" s="34" t="str">
        <f>IF(ISBLANK(U26),SUBSTITUTE("18 %",".",","),IF(U26&lt;=669,SUBSTITUTE("5 %",".",","),IF(U26&lt;=692,SUBSTITUTE("5.7 %",".",","),IF(U26&lt;=716,SUBSTITUTE("6.4 %",".",","),SUBSTITUTE("18 %",".",",")))))</f>
        <v>18 %</v>
      </c>
      <c r="U26" s="49">
        <v>999</v>
      </c>
      <c r="V26"/>
      <c r="W26"/>
      <c r="X26" s="48"/>
      <c r="Y26" s="48"/>
      <c r="Z26" s="48"/>
      <c r="AA26" s="48"/>
      <c r="AB26" s="48"/>
      <c r="AC26" s="48"/>
      <c r="AD26" s="48"/>
      <c r="AE26" s="48"/>
      <c r="AF26" s="48"/>
      <c r="AG26" s="48"/>
      <c r="AH26" s="48"/>
    </row>
    <row r="27" ht="15.75" customHeight="1">
      <c r="A27" s="33">
        <v>135799451</v>
      </c>
      <c r="B27" s="33" t="s">
        <v>162</v>
      </c>
      <c r="C27" s="34" t="s">
        <v>180</v>
      </c>
      <c r="D27" s="34" t="s">
        <v>164</v>
      </c>
      <c r="E27" s="34" t="s">
        <v>77</v>
      </c>
      <c r="F27" s="34">
        <v>4</v>
      </c>
      <c r="G27" s="35">
        <v>46127.12230314815</v>
      </c>
      <c r="H27" s="35">
        <v>46133.999305555553</v>
      </c>
      <c r="I27" s="36" t="s">
        <v>165</v>
      </c>
      <c r="J27" s="36" t="s">
        <v>55</v>
      </c>
      <c r="K27" s="38">
        <v>678</v>
      </c>
      <c r="L27" s="39" t="s">
        <v>167</v>
      </c>
      <c r="M27" s="39" t="s">
        <v>57</v>
      </c>
      <c r="N27" s="41">
        <v>656</v>
      </c>
      <c r="O27" s="42" t="s">
        <v>168</v>
      </c>
      <c r="P27" s="42" t="s">
        <v>65</v>
      </c>
      <c r="Q27" s="43">
        <v>635</v>
      </c>
      <c r="R27" s="44">
        <v>999</v>
      </c>
      <c r="S27" s="34" t="s">
        <v>58</v>
      </c>
      <c r="T27" s="34" t="str">
        <f>IF(ISBLANK(U27),SUBSTITUTE("18 %",".",","),IF(U27&lt;=635,SUBSTITUTE("5 %",".",","),IF(U27&lt;=656,SUBSTITUTE("5.7 %",".",","),IF(U27&lt;=678,SUBSTITUTE("6.4 %",".",","),SUBSTITUTE("18 %",".",",")))))</f>
        <v>18 %</v>
      </c>
      <c r="U27" s="49">
        <v>999</v>
      </c>
      <c r="V27"/>
      <c r="W27"/>
      <c r="X27" s="48"/>
      <c r="Y27" s="48"/>
      <c r="Z27" s="48"/>
      <c r="AA27" s="48"/>
      <c r="AB27" s="48"/>
      <c r="AC27" s="48"/>
      <c r="AD27" s="48"/>
      <c r="AE27" s="48"/>
      <c r="AF27" s="48"/>
      <c r="AG27" s="48"/>
      <c r="AH27" s="48"/>
    </row>
    <row r="28" ht="15.75" customHeight="1">
      <c r="A28" s="33">
        <v>135816566</v>
      </c>
      <c r="B28" s="33" t="s">
        <v>181</v>
      </c>
      <c r="C28" s="34" t="s">
        <v>182</v>
      </c>
      <c r="D28" s="34" t="s">
        <v>183</v>
      </c>
      <c r="E28" s="34" t="s">
        <v>77</v>
      </c>
      <c r="F28" s="34">
        <v>3</v>
      </c>
      <c r="G28" s="35">
        <v>46127.124831215267</v>
      </c>
      <c r="H28" s="35">
        <v>46133.999305555553</v>
      </c>
      <c r="I28" s="36" t="s">
        <v>184</v>
      </c>
      <c r="J28" s="36" t="s">
        <v>55</v>
      </c>
      <c r="K28" s="38">
        <v>677</v>
      </c>
      <c r="L28" s="39" t="s">
        <v>185</v>
      </c>
      <c r="M28" s="39" t="s">
        <v>57</v>
      </c>
      <c r="N28" s="41">
        <v>655</v>
      </c>
      <c r="O28" s="42" t="s">
        <v>168</v>
      </c>
      <c r="P28" s="42" t="s">
        <v>65</v>
      </c>
      <c r="Q28" s="43">
        <v>635</v>
      </c>
      <c r="R28" s="44">
        <v>999</v>
      </c>
      <c r="S28" s="34" t="s">
        <v>58</v>
      </c>
      <c r="T28" s="34" t="str">
        <f>IF(ISBLANK(U28),SUBSTITUTE("18 %",".",","),IF(U28&lt;=635,SUBSTITUTE("5 %",".",","),IF(U28&lt;=655,SUBSTITUTE("5.7 %",".",","),IF(U28&lt;=677,SUBSTITUTE("6.4 %",".",","),SUBSTITUTE("18 %",".",",")))))</f>
        <v>18 %</v>
      </c>
      <c r="U28" s="49">
        <v>999</v>
      </c>
      <c r="V28"/>
      <c r="W2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</row>
    <row r="29" ht="15.75" customHeight="1">
      <c r="A29" s="33">
        <v>135797289</v>
      </c>
      <c r="B29" s="33" t="s">
        <v>186</v>
      </c>
      <c r="C29" s="34" t="s">
        <v>187</v>
      </c>
      <c r="D29" s="34" t="s">
        <v>183</v>
      </c>
      <c r="E29" s="34" t="s">
        <v>77</v>
      </c>
      <c r="F29" s="34">
        <v>28</v>
      </c>
      <c r="G29" s="35">
        <v>46127.122001342592</v>
      </c>
      <c r="H29" s="35">
        <v>46133.999305555553</v>
      </c>
      <c r="I29" s="36" t="s">
        <v>184</v>
      </c>
      <c r="J29" s="36" t="s">
        <v>55</v>
      </c>
      <c r="K29" s="38">
        <v>677</v>
      </c>
      <c r="L29" s="39" t="s">
        <v>185</v>
      </c>
      <c r="M29" s="39" t="s">
        <v>57</v>
      </c>
      <c r="N29" s="41">
        <v>655</v>
      </c>
      <c r="O29" s="42" t="s">
        <v>168</v>
      </c>
      <c r="P29" s="42" t="s">
        <v>65</v>
      </c>
      <c r="Q29" s="43">
        <v>635</v>
      </c>
      <c r="R29" s="44">
        <v>999</v>
      </c>
      <c r="S29" s="34" t="s">
        <v>58</v>
      </c>
      <c r="T29" s="34" t="str">
        <f>IF(ISBLANK(U29),SUBSTITUTE("18 %",".",","),IF(U29&lt;=635,SUBSTITUTE("5 %",".",","),IF(U29&lt;=655,SUBSTITUTE("5.7 %",".",","),IF(U29&lt;=677,SUBSTITUTE("6.4 %",".",","),SUBSTITUTE("18 %",".",",")))))</f>
        <v>18 %</v>
      </c>
      <c r="U29" s="49">
        <v>999</v>
      </c>
      <c r="V29"/>
      <c r="W29"/>
      <c r="X29" s="48"/>
      <c r="Y29" s="48"/>
      <c r="Z29" s="48"/>
      <c r="AA29" s="48"/>
      <c r="AB29" s="48"/>
      <c r="AC29" s="48"/>
      <c r="AD29" s="48"/>
      <c r="AE29" s="48"/>
      <c r="AF29" s="48"/>
      <c r="AG29" s="48"/>
      <c r="AH29" s="48"/>
    </row>
    <row r="30" ht="15.75" customHeight="1">
      <c r="A30" s="33">
        <v>135797267</v>
      </c>
      <c r="B30" s="33" t="s">
        <v>188</v>
      </c>
      <c r="C30" s="34" t="s">
        <v>189</v>
      </c>
      <c r="D30" s="34" t="s">
        <v>183</v>
      </c>
      <c r="E30" s="34" t="s">
        <v>77</v>
      </c>
      <c r="F30" s="34">
        <v>10</v>
      </c>
      <c r="G30" s="35">
        <v>46127.121998240742</v>
      </c>
      <c r="H30" s="35">
        <v>46133.999305555553</v>
      </c>
      <c r="I30" s="36" t="s">
        <v>184</v>
      </c>
      <c r="J30" s="36" t="s">
        <v>55</v>
      </c>
      <c r="K30" s="38">
        <v>677</v>
      </c>
      <c r="L30" s="39" t="s">
        <v>185</v>
      </c>
      <c r="M30" s="39" t="s">
        <v>57</v>
      </c>
      <c r="N30" s="41">
        <v>655</v>
      </c>
      <c r="O30" s="42" t="s">
        <v>168</v>
      </c>
      <c r="P30" s="42" t="s">
        <v>65</v>
      </c>
      <c r="Q30" s="43">
        <v>635</v>
      </c>
      <c r="R30" s="44">
        <v>999</v>
      </c>
      <c r="S30" s="34" t="s">
        <v>58</v>
      </c>
      <c r="T30" s="34" t="str">
        <f>IF(ISBLANK(U30),SUBSTITUTE("18 %",".",","),IF(U30&lt;=635,SUBSTITUTE("5 %",".",","),IF(U30&lt;=655,SUBSTITUTE("5.7 %",".",","),IF(U30&lt;=677,SUBSTITUTE("6.4 %",".",","),SUBSTITUTE("18 %",".",",")))))</f>
        <v>18 %</v>
      </c>
      <c r="U30" s="49">
        <v>999</v>
      </c>
      <c r="V30"/>
      <c r="W30"/>
      <c r="X30" s="48"/>
      <c r="Y30" s="48"/>
      <c r="Z30" s="48"/>
      <c r="AA30" s="48"/>
      <c r="AB30" s="48"/>
      <c r="AC30" s="48"/>
      <c r="AD30" s="48"/>
      <c r="AE30" s="48"/>
      <c r="AF30" s="48"/>
      <c r="AG30" s="48"/>
      <c r="AH30" s="48"/>
    </row>
    <row r="31" ht="15.75" customHeight="1">
      <c r="A31" s="33">
        <v>135791071</v>
      </c>
      <c r="B31" s="33" t="s">
        <v>190</v>
      </c>
      <c r="C31" s="34" t="s">
        <v>191</v>
      </c>
      <c r="D31" s="34" t="s">
        <v>183</v>
      </c>
      <c r="E31" s="34" t="s">
        <v>77</v>
      </c>
      <c r="F31" s="34">
        <v>4</v>
      </c>
      <c r="G31" s="35">
        <v>46127.121164016207</v>
      </c>
      <c r="H31" s="35">
        <v>46133.999305555553</v>
      </c>
      <c r="I31" s="36" t="s">
        <v>184</v>
      </c>
      <c r="J31" s="36" t="s">
        <v>55</v>
      </c>
      <c r="K31" s="38">
        <v>677</v>
      </c>
      <c r="L31" s="39" t="s">
        <v>185</v>
      </c>
      <c r="M31" s="39" t="s">
        <v>57</v>
      </c>
      <c r="N31" s="41">
        <v>655</v>
      </c>
      <c r="O31" s="42" t="s">
        <v>168</v>
      </c>
      <c r="P31" s="42" t="s">
        <v>65</v>
      </c>
      <c r="Q31" s="43">
        <v>635</v>
      </c>
      <c r="R31" s="44">
        <v>999</v>
      </c>
      <c r="S31" s="34" t="s">
        <v>58</v>
      </c>
      <c r="T31" s="34" t="str">
        <f>IF(ISBLANK(U31),SUBSTITUTE("18 %",".",","),IF(U31&lt;=635,SUBSTITUTE("5 %",".",","),IF(U31&lt;=655,SUBSTITUTE("5.7 %",".",","),IF(U31&lt;=677,SUBSTITUTE("6.4 %",".",","),SUBSTITUTE("18 %",".",",")))))</f>
        <v>18 %</v>
      </c>
      <c r="U31" s="49">
        <v>999</v>
      </c>
      <c r="V31"/>
      <c r="W31"/>
      <c r="X31" s="48"/>
      <c r="Y31" s="48"/>
      <c r="Z31" s="48"/>
      <c r="AA31" s="48"/>
      <c r="AB31" s="48"/>
      <c r="AC31" s="48"/>
      <c r="AD31" s="48"/>
      <c r="AE31" s="48"/>
      <c r="AF31" s="48"/>
      <c r="AG31" s="48"/>
      <c r="AH31" s="48"/>
    </row>
    <row r="32" ht="15.75" customHeight="1">
      <c r="A32" s="33">
        <v>135791064</v>
      </c>
      <c r="B32" s="33" t="s">
        <v>192</v>
      </c>
      <c r="C32" s="34" t="s">
        <v>193</v>
      </c>
      <c r="D32" s="34" t="s">
        <v>183</v>
      </c>
      <c r="E32" s="34" t="s">
        <v>77</v>
      </c>
      <c r="F32" s="34">
        <v>5</v>
      </c>
      <c r="G32" s="35">
        <v>46127.121162939817</v>
      </c>
      <c r="H32" s="35">
        <v>46133.999305555553</v>
      </c>
      <c r="I32" s="36" t="s">
        <v>184</v>
      </c>
      <c r="J32" s="36" t="s">
        <v>55</v>
      </c>
      <c r="K32" s="38">
        <v>677</v>
      </c>
      <c r="L32" s="39" t="s">
        <v>185</v>
      </c>
      <c r="M32" s="39" t="s">
        <v>57</v>
      </c>
      <c r="N32" s="41">
        <v>655</v>
      </c>
      <c r="O32" s="42" t="s">
        <v>168</v>
      </c>
      <c r="P32" s="42" t="s">
        <v>65</v>
      </c>
      <c r="Q32" s="43">
        <v>635</v>
      </c>
      <c r="R32" s="44">
        <v>999</v>
      </c>
      <c r="S32" s="34" t="s">
        <v>58</v>
      </c>
      <c r="T32" s="34" t="str">
        <f>IF(ISBLANK(U32),SUBSTITUTE("18 %",".",","),IF(U32&lt;=635,SUBSTITUTE("5 %",".",","),IF(U32&lt;=655,SUBSTITUTE("5.7 %",".",","),IF(U32&lt;=677,SUBSTITUTE("6.4 %",".",","),SUBSTITUTE("18 %",".",",")))))</f>
        <v>18 %</v>
      </c>
      <c r="U32" s="49">
        <v>999</v>
      </c>
      <c r="V32"/>
      <c r="W32"/>
      <c r="X32" s="48"/>
      <c r="Y32" s="48"/>
      <c r="Z32" s="48"/>
      <c r="AA32" s="48"/>
      <c r="AB32" s="48"/>
      <c r="AC32" s="48"/>
      <c r="AD32" s="48"/>
      <c r="AE32" s="48"/>
      <c r="AF32" s="48"/>
      <c r="AG32" s="48"/>
      <c r="AH32" s="48"/>
    </row>
    <row r="33" ht="15.75" customHeight="1">
      <c r="A33" s="33">
        <v>135623845</v>
      </c>
      <c r="B33" s="33" t="s">
        <v>194</v>
      </c>
      <c r="C33" s="34" t="s">
        <v>195</v>
      </c>
      <c r="D33" s="34" t="s">
        <v>183</v>
      </c>
      <c r="E33" s="34" t="s">
        <v>77</v>
      </c>
      <c r="F33" s="34">
        <v>4</v>
      </c>
      <c r="G33" s="35">
        <v>46127.09855707176</v>
      </c>
      <c r="H33" s="35">
        <v>46133.999305555553</v>
      </c>
      <c r="I33" s="36" t="s">
        <v>196</v>
      </c>
      <c r="J33" s="36" t="s">
        <v>128</v>
      </c>
      <c r="K33" s="38">
        <v>674</v>
      </c>
      <c r="L33" s="39" t="s">
        <v>197</v>
      </c>
      <c r="M33" s="39" t="s">
        <v>130</v>
      </c>
      <c r="N33" s="41">
        <v>653</v>
      </c>
      <c r="O33" s="42" t="s">
        <v>198</v>
      </c>
      <c r="P33" s="42" t="s">
        <v>132</v>
      </c>
      <c r="Q33" s="43">
        <v>632</v>
      </c>
      <c r="R33" s="44">
        <v>999</v>
      </c>
      <c r="S33" s="34" t="s">
        <v>58</v>
      </c>
      <c r="T33" s="34" t="str">
        <f>IF(ISBLANK(U33),SUBSTITUTE("18 %",".",","),IF(U33&lt;=632,SUBSTITUTE("5.6 %",".",","),IF(U33&lt;=653,SUBSTITUTE("6.7 %",".",","),IF(U33&lt;=674,SUBSTITUTE("7.5 %",".",","),SUBSTITUTE("18 %",".",",")))))</f>
        <v>18 %</v>
      </c>
      <c r="U33" s="49">
        <v>999</v>
      </c>
      <c r="V33"/>
      <c r="W33"/>
      <c r="X33" s="48"/>
      <c r="Y33" s="48"/>
      <c r="Z33" s="48"/>
      <c r="AA33" s="48"/>
      <c r="AB33" s="48"/>
      <c r="AC33" s="48"/>
      <c r="AD33" s="48"/>
      <c r="AE33" s="48"/>
      <c r="AF33" s="48"/>
      <c r="AG33" s="48"/>
      <c r="AH33" s="48"/>
    </row>
    <row r="34" ht="15.75" customHeight="1">
      <c r="A34" s="33">
        <v>135936432</v>
      </c>
      <c r="B34" s="33" t="s">
        <v>199</v>
      </c>
      <c r="C34" s="34" t="s">
        <v>200</v>
      </c>
      <c r="D34" s="34" t="s">
        <v>201</v>
      </c>
      <c r="E34" s="34" t="s">
        <v>104</v>
      </c>
      <c r="F34" s="34">
        <v>10</v>
      </c>
      <c r="G34" s="35">
        <v>46127.14572335648</v>
      </c>
      <c r="H34" s="35">
        <v>46133.999305555553</v>
      </c>
      <c r="I34" s="36" t="s">
        <v>202</v>
      </c>
      <c r="J34" s="36" t="s">
        <v>137</v>
      </c>
      <c r="K34" s="38">
        <v>646</v>
      </c>
      <c r="L34" s="39" t="s">
        <v>203</v>
      </c>
      <c r="M34" s="39" t="s">
        <v>55</v>
      </c>
      <c r="N34" s="41">
        <v>624</v>
      </c>
      <c r="O34" s="42" t="s">
        <v>204</v>
      </c>
      <c r="P34" s="42" t="s">
        <v>147</v>
      </c>
      <c r="Q34" s="43">
        <v>603</v>
      </c>
      <c r="R34" s="44">
        <v>872.02999999999997</v>
      </c>
      <c r="S34" s="34" t="s">
        <v>58</v>
      </c>
      <c r="T34" s="34" t="str">
        <f>IF(ISBLANK(U34),SUBSTITUTE("18 %",".",","),IF(U34&lt;=603,SUBSTITUTE("5.4 %",".",","),IF(U34&lt;=624,SUBSTITUTE("6.4 %",".",","),IF(U34&lt;=646,SUBSTITUTE("7.2 %",".",","),SUBSTITUTE("18 %",".",",")))))</f>
        <v>18 %</v>
      </c>
      <c r="U34" s="49">
        <v>872.02999999999997</v>
      </c>
      <c r="V34"/>
      <c r="W34"/>
      <c r="X34" s="48"/>
      <c r="Y34" s="48"/>
      <c r="Z34" s="48"/>
      <c r="AA34" s="48"/>
      <c r="AB34" s="48"/>
      <c r="AC34" s="48"/>
      <c r="AD34" s="48"/>
      <c r="AE34" s="48"/>
      <c r="AF34" s="48"/>
      <c r="AG34" s="48"/>
      <c r="AH34" s="48"/>
    </row>
    <row r="35" ht="15.75" customHeight="1">
      <c r="A35" s="33">
        <v>135913957</v>
      </c>
      <c r="B35" s="33" t="s">
        <v>205</v>
      </c>
      <c r="C35" s="34" t="s">
        <v>206</v>
      </c>
      <c r="D35" s="34" t="s">
        <v>201</v>
      </c>
      <c r="E35" s="34" t="s">
        <v>104</v>
      </c>
      <c r="F35" s="34">
        <v>19</v>
      </c>
      <c r="G35" s="35">
        <v>46127.141989039352</v>
      </c>
      <c r="H35" s="35">
        <v>46133.999305555553</v>
      </c>
      <c r="I35" s="36" t="s">
        <v>207</v>
      </c>
      <c r="J35" s="36" t="s">
        <v>106</v>
      </c>
      <c r="K35" s="38">
        <v>538</v>
      </c>
      <c r="L35" s="39" t="s">
        <v>208</v>
      </c>
      <c r="M35" s="39" t="s">
        <v>175</v>
      </c>
      <c r="N35" s="41">
        <v>511</v>
      </c>
      <c r="O35" s="42" t="s">
        <v>209</v>
      </c>
      <c r="P35" s="42" t="s">
        <v>141</v>
      </c>
      <c r="Q35" s="43">
        <v>485</v>
      </c>
      <c r="R35" s="44">
        <v>872.02999999999997</v>
      </c>
      <c r="S35" s="34" t="s">
        <v>58</v>
      </c>
      <c r="T35" s="34" t="str">
        <f>IF(ISBLANK(U35),SUBSTITUTE("18 %",".",","),IF(U35&lt;=485,SUBSTITUTE("5.1 %",".",","),IF(U35&lt;=511,SUBSTITUTE("6.1 %",".",","),IF(U35&lt;=538,SUBSTITUTE("6.8 %",".",","),SUBSTITUTE("18 %",".",",")))))</f>
        <v>18 %</v>
      </c>
      <c r="U35" s="49">
        <v>872.02999999999997</v>
      </c>
      <c r="V35"/>
      <c r="W35"/>
      <c r="X35" s="48"/>
      <c r="Y35" s="48"/>
      <c r="Z35" s="48"/>
      <c r="AA35" s="48"/>
      <c r="AB35" s="48"/>
      <c r="AC35" s="48"/>
      <c r="AD35" s="48"/>
      <c r="AE35" s="48"/>
      <c r="AF35" s="48"/>
      <c r="AG35" s="48"/>
      <c r="AH35" s="48"/>
    </row>
    <row r="36" ht="15.75" customHeight="1">
      <c r="A36" s="33">
        <v>135909084</v>
      </c>
      <c r="B36" s="33" t="s">
        <v>210</v>
      </c>
      <c r="C36" s="34" t="s">
        <v>211</v>
      </c>
      <c r="D36" s="34" t="s">
        <v>201</v>
      </c>
      <c r="E36" s="34" t="s">
        <v>104</v>
      </c>
      <c r="F36" s="34">
        <v>10</v>
      </c>
      <c r="G36" s="35">
        <v>46127.141194479169</v>
      </c>
      <c r="H36" s="35">
        <v>46133.999305555553</v>
      </c>
      <c r="I36" s="36" t="s">
        <v>105</v>
      </c>
      <c r="J36" s="36" t="s">
        <v>106</v>
      </c>
      <c r="K36" s="38">
        <v>576</v>
      </c>
      <c r="L36" s="39" t="s">
        <v>107</v>
      </c>
      <c r="M36" s="39" t="s">
        <v>108</v>
      </c>
      <c r="N36" s="41">
        <v>547</v>
      </c>
      <c r="O36" s="42" t="s">
        <v>109</v>
      </c>
      <c r="P36" s="42" t="s">
        <v>65</v>
      </c>
      <c r="Q36" s="43">
        <v>519</v>
      </c>
      <c r="R36" s="44">
        <v>899</v>
      </c>
      <c r="S36" s="34" t="s">
        <v>58</v>
      </c>
      <c r="T36" s="34" t="str">
        <f>IF(ISBLANK(U36),SUBSTITUTE("18 %",".",","),IF(U36&lt;=519,SUBSTITUTE("5 %",".",","),IF(U36&lt;=547,SUBSTITUTE("5.9 %",".",","),IF(U36&lt;=576,SUBSTITUTE("6.8 %",".",","),SUBSTITUTE("18 %",".",",")))))</f>
        <v>18 %</v>
      </c>
      <c r="U36" s="49">
        <v>899</v>
      </c>
      <c r="V36"/>
      <c r="W36"/>
      <c r="X36" s="48"/>
      <c r="Y36" s="48"/>
      <c r="Z36" s="48"/>
      <c r="AA36" s="48"/>
      <c r="AB36" s="48"/>
      <c r="AC36" s="48"/>
      <c r="AD36" s="48"/>
      <c r="AE36" s="48"/>
      <c r="AF36" s="48"/>
      <c r="AG36" s="48"/>
      <c r="AH36" s="48"/>
    </row>
    <row r="37" ht="15.75" customHeight="1">
      <c r="A37" s="33">
        <v>135873985</v>
      </c>
      <c r="B37" s="33" t="s">
        <v>212</v>
      </c>
      <c r="C37" s="34" t="s">
        <v>213</v>
      </c>
      <c r="D37" s="34" t="s">
        <v>201</v>
      </c>
      <c r="E37" s="34" t="s">
        <v>104</v>
      </c>
      <c r="F37" s="34">
        <v>10</v>
      </c>
      <c r="G37" s="35">
        <v>46127.135337164349</v>
      </c>
      <c r="H37" s="35">
        <v>46133.999305555553</v>
      </c>
      <c r="I37" s="36" t="s">
        <v>105</v>
      </c>
      <c r="J37" s="36" t="s">
        <v>130</v>
      </c>
      <c r="K37" s="38">
        <v>576</v>
      </c>
      <c r="L37" s="39" t="s">
        <v>107</v>
      </c>
      <c r="M37" s="39" t="s">
        <v>124</v>
      </c>
      <c r="N37" s="41">
        <v>547</v>
      </c>
      <c r="O37" s="42" t="s">
        <v>109</v>
      </c>
      <c r="P37" s="42" t="s">
        <v>65</v>
      </c>
      <c r="Q37" s="43">
        <v>519</v>
      </c>
      <c r="R37" s="44">
        <v>899</v>
      </c>
      <c r="S37" s="34" t="s">
        <v>58</v>
      </c>
      <c r="T37" s="34" t="str">
        <f>IF(ISBLANK(U37),SUBSTITUTE("18 %",".",","),IF(U37&lt;=519,SUBSTITUTE("5 %",".",","),IF(U37&lt;=547,SUBSTITUTE("5.8 %",".",","),IF(U37&lt;=576,SUBSTITUTE("6.7 %",".",","),SUBSTITUTE("18 %",".",",")))))</f>
        <v>18 %</v>
      </c>
      <c r="U37" s="49">
        <v>899</v>
      </c>
      <c r="V37"/>
      <c r="W37"/>
      <c r="X37" s="48"/>
      <c r="Y37" s="48"/>
      <c r="Z37" s="48"/>
      <c r="AA37" s="48"/>
      <c r="AB37" s="48"/>
      <c r="AC37" s="48"/>
      <c r="AD37" s="48"/>
      <c r="AE37" s="48"/>
      <c r="AF37" s="48"/>
      <c r="AG37" s="48"/>
      <c r="AH37" s="48"/>
    </row>
    <row r="38" ht="15.75" customHeight="1">
      <c r="A38" s="33">
        <v>135942264</v>
      </c>
      <c r="B38" s="33" t="s">
        <v>214</v>
      </c>
      <c r="C38" s="34" t="s">
        <v>215</v>
      </c>
      <c r="D38" s="34" t="s">
        <v>216</v>
      </c>
      <c r="E38" s="34" t="s">
        <v>51</v>
      </c>
      <c r="F38" s="34">
        <v>5</v>
      </c>
      <c r="G38" s="35">
        <v>46127.147139652778</v>
      </c>
      <c r="H38" s="35">
        <v>46133.999305555553</v>
      </c>
      <c r="I38" s="36" t="s">
        <v>52</v>
      </c>
      <c r="J38" s="36" t="s">
        <v>53</v>
      </c>
      <c r="K38" s="38">
        <v>1208</v>
      </c>
      <c r="L38" s="39" t="s">
        <v>54</v>
      </c>
      <c r="M38" s="39" t="s">
        <v>55</v>
      </c>
      <c r="N38" s="41">
        <v>1182</v>
      </c>
      <c r="O38" s="42" t="s">
        <v>56</v>
      </c>
      <c r="P38" s="42" t="s">
        <v>57</v>
      </c>
      <c r="Q38" s="43">
        <v>1143</v>
      </c>
      <c r="R38" s="44">
        <v>1299</v>
      </c>
      <c r="S38" s="34" t="s">
        <v>58</v>
      </c>
      <c r="T38" s="34" t="str">
        <f>IF(ISBLANK(U38),SUBSTITUTE("18 %",".",","),IF(U38&lt;=1143,SUBSTITUTE("5.7 %",".",","),IF(U38&lt;=1182,SUBSTITUTE("6.4 %",".",","),IF(U38&lt;=1208,SUBSTITUTE("7.1 %",".",","),SUBSTITUTE("18 %",".",",")))))</f>
        <v>7,1 %</v>
      </c>
      <c r="U38" s="46">
        <v>1208</v>
      </c>
      <c r="V38"/>
      <c r="W38"/>
      <c r="X38" s="48"/>
      <c r="Y38" s="48"/>
      <c r="Z38" s="48"/>
      <c r="AA38" s="48"/>
      <c r="AB38" s="48"/>
      <c r="AC38" s="48"/>
      <c r="AD38" s="48"/>
      <c r="AE38" s="48"/>
      <c r="AF38" s="48"/>
      <c r="AG38" s="48"/>
      <c r="AH38" s="48"/>
    </row>
    <row r="39" ht="15.75" customHeight="1">
      <c r="A39" s="33">
        <v>135905219</v>
      </c>
      <c r="B39" s="33" t="s">
        <v>217</v>
      </c>
      <c r="C39" s="34" t="s">
        <v>218</v>
      </c>
      <c r="D39" s="34" t="s">
        <v>216</v>
      </c>
      <c r="E39" s="34" t="s">
        <v>51</v>
      </c>
      <c r="F39" s="34">
        <v>2</v>
      </c>
      <c r="G39" s="35">
        <v>46127.140506724543</v>
      </c>
      <c r="H39" s="35">
        <v>46133.999305555553</v>
      </c>
      <c r="I39" s="36" t="s">
        <v>52</v>
      </c>
      <c r="J39" s="36" t="s">
        <v>53</v>
      </c>
      <c r="K39" s="38">
        <v>1208</v>
      </c>
      <c r="L39" s="39" t="s">
        <v>54</v>
      </c>
      <c r="M39" s="39" t="s">
        <v>55</v>
      </c>
      <c r="N39" s="41">
        <v>1182</v>
      </c>
      <c r="O39" s="42" t="s">
        <v>56</v>
      </c>
      <c r="P39" s="42" t="s">
        <v>57</v>
      </c>
      <c r="Q39" s="43">
        <v>1143</v>
      </c>
      <c r="R39" s="44">
        <v>1299</v>
      </c>
      <c r="S39" s="34" t="s">
        <v>58</v>
      </c>
      <c r="T39" s="34" t="str">
        <f>IF(ISBLANK(U39),SUBSTITUTE("18 %",".",","),IF(U39&lt;=1143,SUBSTITUTE("5.7 %",".",","),IF(U39&lt;=1182,SUBSTITUTE("6.4 %",".",","),IF(U39&lt;=1208,SUBSTITUTE("7.1 %",".",","),SUBSTITUTE("18 %",".",",")))))</f>
        <v>7,1 %</v>
      </c>
      <c r="U39" s="46">
        <v>1208</v>
      </c>
      <c r="V39"/>
      <c r="W39"/>
      <c r="X39" s="48"/>
      <c r="Y39" s="48"/>
      <c r="Z39" s="48"/>
      <c r="AA39" s="48"/>
      <c r="AB39" s="48"/>
      <c r="AC39" s="48"/>
      <c r="AD39" s="48"/>
      <c r="AE39" s="48"/>
      <c r="AF39" s="48"/>
      <c r="AG39" s="48"/>
      <c r="AH39" s="48"/>
    </row>
    <row r="40" ht="15.75" customHeight="1">
      <c r="A40" s="33">
        <v>135895318</v>
      </c>
      <c r="B40" s="33" t="s">
        <v>219</v>
      </c>
      <c r="C40" s="34" t="s">
        <v>220</v>
      </c>
      <c r="D40" s="34" t="s">
        <v>216</v>
      </c>
      <c r="E40" s="34" t="s">
        <v>51</v>
      </c>
      <c r="F40" s="34">
        <v>5</v>
      </c>
      <c r="G40" s="35">
        <v>46127.138859317129</v>
      </c>
      <c r="H40" s="35">
        <v>46133.999305555553</v>
      </c>
      <c r="I40" s="36" t="s">
        <v>52</v>
      </c>
      <c r="J40" s="36" t="s">
        <v>53</v>
      </c>
      <c r="K40" s="38">
        <v>1208</v>
      </c>
      <c r="L40" s="39" t="s">
        <v>54</v>
      </c>
      <c r="M40" s="39" t="s">
        <v>55</v>
      </c>
      <c r="N40" s="41">
        <v>1182</v>
      </c>
      <c r="O40" s="42" t="s">
        <v>56</v>
      </c>
      <c r="P40" s="42" t="s">
        <v>57</v>
      </c>
      <c r="Q40" s="43">
        <v>1143</v>
      </c>
      <c r="R40" s="44">
        <v>1299</v>
      </c>
      <c r="S40" s="34" t="s">
        <v>58</v>
      </c>
      <c r="T40" s="34" t="str">
        <f>IF(ISBLANK(U40),SUBSTITUTE("18 %",".",","),IF(U40&lt;=1143,SUBSTITUTE("5.7 %",".",","),IF(U40&lt;=1182,SUBSTITUTE("6.4 %",".",","),IF(U40&lt;=1208,SUBSTITUTE("7.1 %",".",","),SUBSTITUTE("18 %",".",",")))))</f>
        <v>7,1 %</v>
      </c>
      <c r="U40" s="46">
        <v>1208</v>
      </c>
      <c r="V40"/>
      <c r="W40"/>
      <c r="X40" s="48"/>
      <c r="Y40" s="48"/>
      <c r="Z40" s="48"/>
      <c r="AA40" s="48"/>
      <c r="AB40" s="48"/>
      <c r="AC40" s="48"/>
      <c r="AD40" s="48"/>
      <c r="AE40" s="48"/>
      <c r="AF40" s="48"/>
      <c r="AG40" s="48"/>
      <c r="AH40" s="48"/>
    </row>
    <row r="41" ht="15.75" customHeight="1">
      <c r="A41" s="33">
        <v>135842550</v>
      </c>
      <c r="B41" s="33" t="s">
        <v>221</v>
      </c>
      <c r="C41" s="34" t="s">
        <v>222</v>
      </c>
      <c r="D41" s="34" t="s">
        <v>216</v>
      </c>
      <c r="E41" s="34" t="s">
        <v>51</v>
      </c>
      <c r="F41" s="34">
        <v>1</v>
      </c>
      <c r="G41" s="35">
        <v>46127.129812280087</v>
      </c>
      <c r="H41" s="35">
        <v>46133.999305555553</v>
      </c>
      <c r="I41" s="36" t="s">
        <v>62</v>
      </c>
      <c r="J41" s="36" t="s">
        <v>55</v>
      </c>
      <c r="K41" s="38">
        <v>1088</v>
      </c>
      <c r="L41" s="39" t="s">
        <v>63</v>
      </c>
      <c r="M41" s="39" t="s">
        <v>57</v>
      </c>
      <c r="N41" s="41">
        <v>1049</v>
      </c>
      <c r="O41" s="42" t="s">
        <v>64</v>
      </c>
      <c r="P41" s="42" t="s">
        <v>65</v>
      </c>
      <c r="Q41" s="43">
        <v>1013</v>
      </c>
      <c r="R41" s="44">
        <v>1299</v>
      </c>
      <c r="S41" s="34" t="s">
        <v>58</v>
      </c>
      <c r="T41" s="34" t="str">
        <f>IF(ISBLANK(U41),SUBSTITUTE("18 %",".",","),IF(U41&lt;=1013,SUBSTITUTE("5 %",".",","),IF(U41&lt;=1049,SUBSTITUTE("5.7 %",".",","),IF(U41&lt;=1088,SUBSTITUTE("6.4 %",".",","),SUBSTITUTE("18 %",".",",")))))</f>
        <v>6,4 %</v>
      </c>
      <c r="U41" s="46">
        <v>1088</v>
      </c>
      <c r="V41"/>
      <c r="W41"/>
      <c r="X41" s="48"/>
      <c r="Y41" s="48"/>
      <c r="Z41" s="48"/>
      <c r="AA41" s="48"/>
      <c r="AB41" s="48"/>
      <c r="AC41" s="48"/>
      <c r="AD41" s="48"/>
      <c r="AE41" s="48"/>
      <c r="AF41" s="48"/>
      <c r="AG41" s="48"/>
      <c r="AH41" s="48"/>
    </row>
    <row r="42" ht="15.75" customHeight="1">
      <c r="A42" s="33">
        <v>135840133</v>
      </c>
      <c r="B42" s="33" t="s">
        <v>223</v>
      </c>
      <c r="C42" s="34" t="s">
        <v>224</v>
      </c>
      <c r="D42" s="34" t="s">
        <v>216</v>
      </c>
      <c r="E42" s="34" t="s">
        <v>51</v>
      </c>
      <c r="F42" s="34">
        <v>5</v>
      </c>
      <c r="G42" s="35">
        <v>46127.129365960653</v>
      </c>
      <c r="H42" s="35">
        <v>46133.999305555553</v>
      </c>
      <c r="I42" s="36" t="s">
        <v>62</v>
      </c>
      <c r="J42" s="36" t="s">
        <v>55</v>
      </c>
      <c r="K42" s="38">
        <v>1088</v>
      </c>
      <c r="L42" s="39" t="s">
        <v>63</v>
      </c>
      <c r="M42" s="39" t="s">
        <v>57</v>
      </c>
      <c r="N42" s="41">
        <v>1049</v>
      </c>
      <c r="O42" s="42" t="s">
        <v>64</v>
      </c>
      <c r="P42" s="42" t="s">
        <v>65</v>
      </c>
      <c r="Q42" s="43">
        <v>1013</v>
      </c>
      <c r="R42" s="44">
        <v>1299</v>
      </c>
      <c r="S42" s="34" t="s">
        <v>58</v>
      </c>
      <c r="T42" s="34" t="str">
        <f>IF(ISBLANK(U42),SUBSTITUTE("18 %",".",","),IF(U42&lt;=1013,SUBSTITUTE("5 %",".",","),IF(U42&lt;=1049,SUBSTITUTE("5.7 %",".",","),IF(U42&lt;=1088,SUBSTITUTE("6.4 %",".",","),SUBSTITUTE("18 %",".",",")))))</f>
        <v>6,4 %</v>
      </c>
      <c r="U42" s="46">
        <v>1088</v>
      </c>
      <c r="V42"/>
      <c r="W42"/>
      <c r="X42" s="48"/>
      <c r="Y42" s="48"/>
      <c r="Z42" s="48"/>
      <c r="AA42" s="48"/>
      <c r="AB42" s="48"/>
      <c r="AC42" s="48"/>
      <c r="AD42" s="48"/>
      <c r="AE42" s="48"/>
      <c r="AF42" s="48"/>
      <c r="AG42" s="48"/>
      <c r="AH42" s="48"/>
    </row>
    <row r="43" ht="15.75" customHeight="1">
      <c r="A43" s="33">
        <v>135834879</v>
      </c>
      <c r="B43" s="33" t="s">
        <v>225</v>
      </c>
      <c r="C43" s="34" t="s">
        <v>226</v>
      </c>
      <c r="D43" s="34" t="s">
        <v>216</v>
      </c>
      <c r="E43" s="34" t="s">
        <v>51</v>
      </c>
      <c r="F43" s="34">
        <v>5</v>
      </c>
      <c r="G43" s="35">
        <v>46127.128077696761</v>
      </c>
      <c r="H43" s="35">
        <v>46133.999305555553</v>
      </c>
      <c r="I43" s="36" t="s">
        <v>227</v>
      </c>
      <c r="J43" s="36" t="s">
        <v>55</v>
      </c>
      <c r="K43" s="38">
        <v>935</v>
      </c>
      <c r="L43" s="39" t="s">
        <v>228</v>
      </c>
      <c r="M43" s="39" t="s">
        <v>57</v>
      </c>
      <c r="N43" s="41">
        <v>904</v>
      </c>
      <c r="O43" s="42" t="s">
        <v>229</v>
      </c>
      <c r="P43" s="42" t="s">
        <v>65</v>
      </c>
      <c r="Q43" s="43">
        <v>875</v>
      </c>
      <c r="R43" s="44">
        <v>1299</v>
      </c>
      <c r="S43" s="34" t="s">
        <v>58</v>
      </c>
      <c r="T43" s="34" t="str">
        <f>IF(ISBLANK(U43),SUBSTITUTE("18 %",".",","),IF(U43&lt;=875,SUBSTITUTE("5 %",".",","),IF(U43&lt;=904,SUBSTITUTE("5.7 %",".",","),IF(U43&lt;=935,SUBSTITUTE("6.4 %",".",","),SUBSTITUTE("18 %",".",",")))))</f>
        <v>6,4 %</v>
      </c>
      <c r="U43" s="46">
        <v>935</v>
      </c>
      <c r="V43"/>
      <c r="W43"/>
      <c r="X43" s="48"/>
      <c r="Y43" s="48"/>
      <c r="Z43" s="48"/>
      <c r="AA43" s="48"/>
      <c r="AB43" s="48"/>
      <c r="AC43" s="48"/>
      <c r="AD43" s="48"/>
      <c r="AE43" s="48"/>
      <c r="AF43" s="48"/>
      <c r="AG43" s="48"/>
      <c r="AH43" s="48"/>
    </row>
    <row r="44" ht="15.75" customHeight="1">
      <c r="A44" s="33">
        <v>135818221</v>
      </c>
      <c r="B44" s="33" t="s">
        <v>221</v>
      </c>
      <c r="C44" s="34" t="s">
        <v>230</v>
      </c>
      <c r="D44" s="34" t="s">
        <v>216</v>
      </c>
      <c r="E44" s="34" t="s">
        <v>51</v>
      </c>
      <c r="F44" s="34">
        <v>3</v>
      </c>
      <c r="G44" s="35">
        <v>46127.125051134259</v>
      </c>
      <c r="H44" s="35">
        <v>46133.999305555553</v>
      </c>
      <c r="I44" s="36" t="s">
        <v>68</v>
      </c>
      <c r="J44" s="36" t="s">
        <v>55</v>
      </c>
      <c r="K44" s="38">
        <v>1103</v>
      </c>
      <c r="L44" s="39" t="s">
        <v>69</v>
      </c>
      <c r="M44" s="39" t="s">
        <v>57</v>
      </c>
      <c r="N44" s="41">
        <v>1064</v>
      </c>
      <c r="O44" s="42" t="s">
        <v>70</v>
      </c>
      <c r="P44" s="42" t="s">
        <v>65</v>
      </c>
      <c r="Q44" s="43">
        <v>1027</v>
      </c>
      <c r="R44" s="44">
        <v>1299</v>
      </c>
      <c r="S44" s="34" t="s">
        <v>58</v>
      </c>
      <c r="T44" s="34" t="str">
        <f>IF(ISBLANK(U44),SUBSTITUTE("18 %",".",","),IF(U44&lt;=1027,SUBSTITUTE("5 %",".",","),IF(U44&lt;=1064,SUBSTITUTE("5.7 %",".",","),IF(U44&lt;=1103,SUBSTITUTE("6.4 %",".",","),SUBSTITUTE("18 %",".",",")))))</f>
        <v>6,4 %</v>
      </c>
      <c r="U44" s="46">
        <v>1103</v>
      </c>
      <c r="V44"/>
      <c r="W44"/>
      <c r="X44" s="48"/>
      <c r="Y44" s="48"/>
      <c r="Z44" s="48"/>
      <c r="AA44" s="48"/>
      <c r="AB44" s="48"/>
      <c r="AC44" s="48"/>
      <c r="AD44" s="48"/>
      <c r="AE44" s="48"/>
      <c r="AF44" s="48"/>
      <c r="AG44" s="48"/>
      <c r="AH44" s="48"/>
    </row>
    <row r="45" ht="15.75" customHeight="1">
      <c r="A45" s="33">
        <v>135810176</v>
      </c>
      <c r="B45" s="33" t="s">
        <v>231</v>
      </c>
      <c r="C45" s="34" t="s">
        <v>232</v>
      </c>
      <c r="D45" s="34" t="s">
        <v>233</v>
      </c>
      <c r="E45" s="34" t="s">
        <v>77</v>
      </c>
      <c r="F45" s="34">
        <v>19</v>
      </c>
      <c r="G45" s="35">
        <v>46127.123920601851</v>
      </c>
      <c r="H45" s="35">
        <v>46133.999305555553</v>
      </c>
      <c r="I45" s="36" t="s">
        <v>234</v>
      </c>
      <c r="J45" s="36" t="s">
        <v>55</v>
      </c>
      <c r="K45" s="38">
        <v>863</v>
      </c>
      <c r="L45" s="39" t="s">
        <v>235</v>
      </c>
      <c r="M45" s="39" t="s">
        <v>57</v>
      </c>
      <c r="N45" s="41">
        <v>845</v>
      </c>
      <c r="O45" s="42" t="s">
        <v>236</v>
      </c>
      <c r="P45" s="42" t="s">
        <v>65</v>
      </c>
      <c r="Q45" s="43">
        <v>809</v>
      </c>
      <c r="R45" s="44">
        <v>899</v>
      </c>
      <c r="S45" s="34" t="s">
        <v>58</v>
      </c>
      <c r="T45" s="34" t="str">
        <f>IF(ISBLANK(U45),SUBSTITUTE("18 %",".",","),IF(U45&lt;=809,SUBSTITUTE("5 %",".",","),IF(U45&lt;=845,SUBSTITUTE("5.7 %",".",","),IF(U45&lt;=863,SUBSTITUTE("6.4 %",".",","),SUBSTITUTE("18 %",".",",")))))</f>
        <v>6,4 %</v>
      </c>
      <c r="U45" s="46">
        <v>863</v>
      </c>
      <c r="V45"/>
      <c r="W45"/>
      <c r="X45" s="48"/>
      <c r="Y45" s="48"/>
      <c r="Z45" s="48"/>
      <c r="AA45" s="48"/>
      <c r="AB45" s="48"/>
      <c r="AC45" s="48"/>
      <c r="AD45" s="48"/>
      <c r="AE45" s="48"/>
      <c r="AF45" s="48"/>
      <c r="AG45" s="48"/>
      <c r="AH45" s="48"/>
    </row>
    <row r="46" ht="15.75" customHeight="1">
      <c r="A46" s="33">
        <v>135796311</v>
      </c>
      <c r="B46" s="33" t="s">
        <v>237</v>
      </c>
      <c r="C46" s="34" t="s">
        <v>238</v>
      </c>
      <c r="D46" s="34" t="s">
        <v>233</v>
      </c>
      <c r="E46" s="34" t="s">
        <v>77</v>
      </c>
      <c r="F46" s="34">
        <v>20</v>
      </c>
      <c r="G46" s="35">
        <v>46127.121863553242</v>
      </c>
      <c r="H46" s="35">
        <v>46133.999305555553</v>
      </c>
      <c r="I46" s="36" t="s">
        <v>239</v>
      </c>
      <c r="J46" s="36" t="s">
        <v>55</v>
      </c>
      <c r="K46" s="38">
        <v>617</v>
      </c>
      <c r="L46" s="39" t="s">
        <v>240</v>
      </c>
      <c r="M46" s="39" t="s">
        <v>57</v>
      </c>
      <c r="N46" s="41">
        <v>597</v>
      </c>
      <c r="O46" s="42" t="s">
        <v>241</v>
      </c>
      <c r="P46" s="42" t="s">
        <v>65</v>
      </c>
      <c r="Q46" s="43">
        <v>578</v>
      </c>
      <c r="R46" s="44">
        <v>899</v>
      </c>
      <c r="S46" s="34" t="s">
        <v>58</v>
      </c>
      <c r="T46" s="34" t="str">
        <f>IF(ISBLANK(U46),SUBSTITUTE("18 %",".",","),IF(U46&lt;=578,SUBSTITUTE("5 %",".",","),IF(U46&lt;=597,SUBSTITUTE("5.7 %",".",","),IF(U46&lt;=617,SUBSTITUTE("6.4 %",".",","),SUBSTITUTE("18 %",".",",")))))</f>
        <v>18 %</v>
      </c>
      <c r="U46" s="49">
        <v>899</v>
      </c>
      <c r="V46"/>
      <c r="W46"/>
      <c r="X46" s="48"/>
      <c r="Y46" s="48"/>
      <c r="Z46" s="48"/>
      <c r="AA46" s="48"/>
      <c r="AB46" s="48"/>
      <c r="AC46" s="48"/>
      <c r="AD46" s="48"/>
      <c r="AE46" s="48"/>
      <c r="AF46" s="48"/>
      <c r="AG46" s="48"/>
      <c r="AH46" s="48"/>
    </row>
    <row r="47" ht="15.75" customHeight="1">
      <c r="A47" s="33">
        <v>135833444</v>
      </c>
      <c r="B47" s="33" t="s">
        <v>242</v>
      </c>
      <c r="C47" s="34" t="s">
        <v>243</v>
      </c>
      <c r="D47" s="34" t="s">
        <v>244</v>
      </c>
      <c r="E47" s="34" t="s">
        <v>51</v>
      </c>
      <c r="F47" s="34">
        <v>4</v>
      </c>
      <c r="G47" s="35">
        <v>46127.127659953701</v>
      </c>
      <c r="H47" s="35">
        <v>46133.999305555553</v>
      </c>
      <c r="I47" s="36" t="s">
        <v>245</v>
      </c>
      <c r="J47" s="36" t="s">
        <v>55</v>
      </c>
      <c r="K47" s="38">
        <v>957</v>
      </c>
      <c r="L47" s="39" t="s">
        <v>246</v>
      </c>
      <c r="M47" s="39" t="s">
        <v>57</v>
      </c>
      <c r="N47" s="41">
        <v>941</v>
      </c>
      <c r="O47" s="42" t="s">
        <v>247</v>
      </c>
      <c r="P47" s="42" t="s">
        <v>65</v>
      </c>
      <c r="Q47" s="43">
        <v>929</v>
      </c>
      <c r="R47" s="44">
        <v>1199</v>
      </c>
      <c r="S47" s="34" t="s">
        <v>58</v>
      </c>
      <c r="T47" s="34" t="str">
        <f>IF(ISBLANK(U47),SUBSTITUTE("18 %",".",","),IF(U47&lt;=929,SUBSTITUTE("5 %",".",","),IF(U47&lt;=941,SUBSTITUTE("5.7 %",".",","),IF(U47&lt;=957,SUBSTITUTE("6.4 %",".",","),SUBSTITUTE("18 %",".",",")))))</f>
        <v>6,4 %</v>
      </c>
      <c r="U47" s="46">
        <v>957</v>
      </c>
      <c r="V47"/>
      <c r="W47"/>
      <c r="X47" s="48"/>
      <c r="Y47" s="48"/>
      <c r="Z47" s="48"/>
      <c r="AA47" s="48"/>
      <c r="AB47" s="48"/>
      <c r="AC47" s="48"/>
      <c r="AD47" s="48"/>
      <c r="AE47" s="48"/>
      <c r="AF47" s="48"/>
      <c r="AG47" s="48"/>
      <c r="AH47" s="48"/>
    </row>
    <row r="48" ht="15.75" customHeight="1">
      <c r="A48" s="33">
        <v>135826613</v>
      </c>
      <c r="B48" s="33" t="s">
        <v>248</v>
      </c>
      <c r="C48" s="34" t="s">
        <v>249</v>
      </c>
      <c r="D48" s="34" t="s">
        <v>244</v>
      </c>
      <c r="E48" s="34" t="s">
        <v>51</v>
      </c>
      <c r="F48" s="34">
        <v>20</v>
      </c>
      <c r="G48" s="35">
        <v>46127.126182430547</v>
      </c>
      <c r="H48" s="35">
        <v>46133.999305555553</v>
      </c>
      <c r="I48" s="36" t="s">
        <v>250</v>
      </c>
      <c r="J48" s="36" t="s">
        <v>55</v>
      </c>
      <c r="K48" s="38">
        <v>832</v>
      </c>
      <c r="L48" s="39" t="s">
        <v>251</v>
      </c>
      <c r="M48" s="39" t="s">
        <v>57</v>
      </c>
      <c r="N48" s="41">
        <v>804</v>
      </c>
      <c r="O48" s="42" t="s">
        <v>252</v>
      </c>
      <c r="P48" s="42" t="s">
        <v>65</v>
      </c>
      <c r="Q48" s="43">
        <v>778</v>
      </c>
      <c r="R48" s="44">
        <v>1149</v>
      </c>
      <c r="S48" s="34" t="s">
        <v>58</v>
      </c>
      <c r="T48" s="34" t="str">
        <f>IF(ISBLANK(U48),SUBSTITUTE("18 %",".",","),IF(U48&lt;=778,SUBSTITUTE("5 %",".",","),IF(U48&lt;=804,SUBSTITUTE("5.7 %",".",","),IF(U48&lt;=832,SUBSTITUTE("6.4 %",".",","),SUBSTITUTE("18 %",".",",")))))</f>
        <v>18 %</v>
      </c>
      <c r="U48" s="49">
        <v>1149</v>
      </c>
      <c r="V48"/>
      <c r="W48"/>
      <c r="X48" s="48"/>
      <c r="Y48" s="48"/>
      <c r="Z48" s="48"/>
      <c r="AA48" s="48"/>
      <c r="AB48" s="48"/>
      <c r="AC48" s="48"/>
      <c r="AD48" s="48"/>
      <c r="AE48" s="48"/>
      <c r="AF48" s="48"/>
      <c r="AG48" s="48"/>
      <c r="AH48" s="48"/>
    </row>
    <row r="49" ht="15.75" customHeight="1">
      <c r="A49" s="33">
        <v>135794143</v>
      </c>
      <c r="B49" s="33" t="s">
        <v>253</v>
      </c>
      <c r="C49" s="34" t="s">
        <v>254</v>
      </c>
      <c r="D49" s="34" t="s">
        <v>255</v>
      </c>
      <c r="E49" s="34" t="s">
        <v>104</v>
      </c>
      <c r="F49" s="34">
        <v>30</v>
      </c>
      <c r="G49" s="35">
        <v>46127.121572129632</v>
      </c>
      <c r="H49" s="35">
        <v>46133.999305555553</v>
      </c>
      <c r="I49" s="36" t="s">
        <v>256</v>
      </c>
      <c r="J49" s="36" t="s">
        <v>55</v>
      </c>
      <c r="K49" s="38">
        <v>312</v>
      </c>
      <c r="L49" s="39" t="s">
        <v>257</v>
      </c>
      <c r="M49" s="39" t="s">
        <v>57</v>
      </c>
      <c r="N49" s="41">
        <v>311</v>
      </c>
      <c r="O49" s="42" t="s">
        <v>258</v>
      </c>
      <c r="P49" s="42" t="s">
        <v>65</v>
      </c>
      <c r="Q49" s="43">
        <v>307</v>
      </c>
      <c r="R49" s="44">
        <v>345</v>
      </c>
      <c r="S49" s="34" t="s">
        <v>58</v>
      </c>
      <c r="T49" s="34" t="str">
        <f>IF(ISBLANK(U49),SUBSTITUTE("18 %",".",","),IF(U49&lt;=307,SUBSTITUTE("5 %",".",","),IF(U49&lt;=311,SUBSTITUTE("5.7 %",".",","),IF(U49&lt;=312,SUBSTITUTE("6.4 %",".",","),SUBSTITUTE("18 %",".",",")))))</f>
        <v>18 %</v>
      </c>
      <c r="U49" s="49">
        <v>345</v>
      </c>
      <c r="V49"/>
      <c r="W49"/>
      <c r="X49" s="48"/>
      <c r="Y49" s="48"/>
      <c r="Z49" s="48"/>
      <c r="AA49" s="48"/>
      <c r="AB49" s="48"/>
      <c r="AC49" s="48"/>
      <c r="AD49" s="48"/>
      <c r="AE49" s="48"/>
      <c r="AF49" s="48"/>
      <c r="AG49" s="48"/>
      <c r="AH49" s="48"/>
    </row>
    <row r="50" ht="15.75" customHeight="1">
      <c r="A50" s="33">
        <v>135888697</v>
      </c>
      <c r="B50" s="33" t="s">
        <v>259</v>
      </c>
      <c r="C50" s="34" t="s">
        <v>260</v>
      </c>
      <c r="D50" s="34" t="s">
        <v>261</v>
      </c>
      <c r="E50" s="34" t="s">
        <v>262</v>
      </c>
      <c r="F50" s="34">
        <v>5</v>
      </c>
      <c r="G50" s="35">
        <v>46127.137590347222</v>
      </c>
      <c r="H50" s="35">
        <v>46133.999305555553</v>
      </c>
      <c r="I50" s="36" t="s">
        <v>263</v>
      </c>
      <c r="J50" s="36" t="s">
        <v>53</v>
      </c>
      <c r="K50" s="38">
        <v>322</v>
      </c>
      <c r="L50" s="39" t="s">
        <v>264</v>
      </c>
      <c r="M50" s="39" t="s">
        <v>55</v>
      </c>
      <c r="N50" s="41">
        <v>318</v>
      </c>
      <c r="O50" s="42" t="s">
        <v>265</v>
      </c>
      <c r="P50" s="42" t="s">
        <v>65</v>
      </c>
      <c r="Q50" s="43">
        <v>310</v>
      </c>
      <c r="R50" s="44">
        <v>559</v>
      </c>
      <c r="S50" s="34" t="s">
        <v>58</v>
      </c>
      <c r="T50" s="34" t="str">
        <f>IF(ISBLANK(U50),SUBSTITUTE("18 %",".",","),IF(U50&lt;=310,SUBSTITUTE("5 %",".",","),IF(U50&lt;=318,SUBSTITUTE("6.4 %",".",","),IF(U50&lt;=322,SUBSTITUTE("7.1 %",".",","),SUBSTITUTE("18 %",".",",")))))</f>
        <v>18 %</v>
      </c>
      <c r="U50" s="49">
        <v>559</v>
      </c>
      <c r="V50"/>
      <c r="W50"/>
      <c r="X50" s="48"/>
      <c r="Y50" s="48"/>
      <c r="Z50" s="48"/>
      <c r="AA50" s="48"/>
      <c r="AB50" s="48"/>
      <c r="AC50" s="48"/>
      <c r="AD50" s="48"/>
      <c r="AE50" s="48"/>
      <c r="AF50" s="48"/>
      <c r="AG50" s="48"/>
      <c r="AH50" s="48"/>
    </row>
    <row r="51" ht="15.75" customHeight="1">
      <c r="A51" s="33">
        <v>135918181</v>
      </c>
      <c r="B51" s="33" t="s">
        <v>266</v>
      </c>
      <c r="C51" s="34" t="s">
        <v>267</v>
      </c>
      <c r="D51" s="34" t="s">
        <v>268</v>
      </c>
      <c r="E51" s="34" t="s">
        <v>262</v>
      </c>
      <c r="F51" s="34">
        <v>20</v>
      </c>
      <c r="G51" s="35">
        <v>46127.142626342589</v>
      </c>
      <c r="H51" s="35">
        <v>46133.999305555553</v>
      </c>
      <c r="I51" s="36" t="s">
        <v>269</v>
      </c>
      <c r="J51" s="36" t="s">
        <v>270</v>
      </c>
      <c r="K51" s="38">
        <v>112</v>
      </c>
      <c r="L51" s="39" t="s">
        <v>271</v>
      </c>
      <c r="M51" s="39" t="s">
        <v>137</v>
      </c>
      <c r="N51" s="41">
        <v>110</v>
      </c>
      <c r="O51" s="42" t="s">
        <v>272</v>
      </c>
      <c r="P51" s="42" t="s">
        <v>160</v>
      </c>
      <c r="Q51" s="43">
        <v>97</v>
      </c>
      <c r="R51" s="44">
        <v>199</v>
      </c>
      <c r="S51" s="34" t="s">
        <v>58</v>
      </c>
      <c r="T51" s="34" t="str">
        <f>IF(ISBLANK(U51),SUBSTITUTE("18 %",".",","),IF(U51&lt;=97,SUBSTITUTE("6.2 %",".",","),IF(U51&lt;=110,SUBSTITUTE("7.2 %",".",","),IF(U51&lt;=112,SUBSTITUTE("7.7 %",".",","),SUBSTITUTE("18 %",".",",")))))</f>
        <v>18 %</v>
      </c>
      <c r="U51" s="49">
        <v>199</v>
      </c>
      <c r="V51"/>
      <c r="W51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</row>
    <row r="52" ht="15.75" customHeight="1">
      <c r="A52" s="33">
        <v>135938116</v>
      </c>
      <c r="B52" s="33" t="s">
        <v>273</v>
      </c>
      <c r="C52" s="34" t="s">
        <v>274</v>
      </c>
      <c r="D52" s="34" t="s">
        <v>275</v>
      </c>
      <c r="E52" s="34" t="s">
        <v>262</v>
      </c>
      <c r="F52" s="34">
        <v>20</v>
      </c>
      <c r="G52" s="35">
        <v>46127.145982754628</v>
      </c>
      <c r="H52" s="35">
        <v>46133.999305555553</v>
      </c>
      <c r="I52" s="36" t="s">
        <v>276</v>
      </c>
      <c r="J52" s="36" t="s">
        <v>53</v>
      </c>
      <c r="K52" s="38">
        <v>783</v>
      </c>
      <c r="L52" s="39" t="s">
        <v>277</v>
      </c>
      <c r="M52" s="39" t="s">
        <v>55</v>
      </c>
      <c r="N52" s="41">
        <v>766</v>
      </c>
      <c r="O52" s="42" t="s">
        <v>278</v>
      </c>
      <c r="P52" s="42" t="s">
        <v>57</v>
      </c>
      <c r="Q52" s="43">
        <v>679</v>
      </c>
      <c r="R52" s="44">
        <v>870</v>
      </c>
      <c r="S52" s="34" t="s">
        <v>58</v>
      </c>
      <c r="T52" s="34" t="str">
        <f>IF(ISBLANK(U52),SUBSTITUTE("18 %",".",","),IF(U52&lt;=679,SUBSTITUTE("5.7 %",".",","),IF(U52&lt;=766,SUBSTITUTE("6.4 %",".",","),IF(U52&lt;=783,SUBSTITUTE("7.1 %",".",","),SUBSTITUTE("18 %",".",",")))))</f>
        <v>6,4 %</v>
      </c>
      <c r="U52" s="50">
        <v>766</v>
      </c>
      <c r="X52" s="48"/>
      <c r="Y52" s="48"/>
      <c r="Z52" s="48"/>
      <c r="AA52" s="48"/>
      <c r="AB52" s="48"/>
      <c r="AC52" s="48"/>
      <c r="AD52" s="48"/>
      <c r="AE52" s="48"/>
      <c r="AF52" s="48"/>
      <c r="AG52" s="48"/>
      <c r="AH52" s="48"/>
    </row>
    <row r="53" ht="15.75" customHeight="1">
      <c r="A53" s="33">
        <v>135798824</v>
      </c>
      <c r="B53" s="33" t="s">
        <v>273</v>
      </c>
      <c r="C53" s="34" t="s">
        <v>279</v>
      </c>
      <c r="D53" s="34" t="s">
        <v>275</v>
      </c>
      <c r="E53" s="34" t="s">
        <v>262</v>
      </c>
      <c r="F53" s="34">
        <v>20</v>
      </c>
      <c r="G53" s="35">
        <v>46127.122210983798</v>
      </c>
      <c r="H53" s="35">
        <v>46133.999305555553</v>
      </c>
      <c r="I53" s="36" t="s">
        <v>280</v>
      </c>
      <c r="J53" s="36" t="s">
        <v>55</v>
      </c>
      <c r="K53" s="38">
        <v>809</v>
      </c>
      <c r="L53" s="39" t="s">
        <v>276</v>
      </c>
      <c r="M53" s="39" t="s">
        <v>57</v>
      </c>
      <c r="N53" s="41">
        <v>783</v>
      </c>
      <c r="O53" s="42" t="s">
        <v>281</v>
      </c>
      <c r="P53" s="42" t="s">
        <v>65</v>
      </c>
      <c r="Q53" s="43">
        <v>766</v>
      </c>
      <c r="R53" s="44">
        <v>870</v>
      </c>
      <c r="S53" s="34" t="s">
        <v>58</v>
      </c>
      <c r="T53" s="34" t="str">
        <f>IF(ISBLANK(U53),SUBSTITUTE("18 %",".",","),IF(U53&lt;=766,SUBSTITUTE("5 %",".",","),IF(U53&lt;=783,SUBSTITUTE("5.7 %",".",","),IF(U53&lt;=809,SUBSTITUTE("6.4 %",".",","),SUBSTITUTE("18 %",".",",")))))</f>
        <v>5,7 %</v>
      </c>
      <c r="U53" s="50">
        <v>783</v>
      </c>
      <c r="X53" s="48"/>
      <c r="Y53" s="48"/>
      <c r="Z53" s="48"/>
      <c r="AA53" s="48"/>
      <c r="AB53" s="48"/>
      <c r="AC53" s="48"/>
      <c r="AD53" s="48"/>
      <c r="AE53" s="48"/>
      <c r="AF53" s="48"/>
      <c r="AG53" s="48"/>
      <c r="AH53" s="48"/>
    </row>
    <row r="54" ht="15.75" customHeight="1">
      <c r="A54" s="33">
        <v>135816614</v>
      </c>
      <c r="B54" s="33" t="s">
        <v>282</v>
      </c>
      <c r="C54" s="34" t="s">
        <v>283</v>
      </c>
      <c r="D54" s="34" t="s">
        <v>284</v>
      </c>
      <c r="E54" s="34" t="s">
        <v>262</v>
      </c>
      <c r="F54" s="34">
        <v>20</v>
      </c>
      <c r="G54" s="35">
        <v>46127.124837905103</v>
      </c>
      <c r="H54" s="35">
        <v>46133.999305555553</v>
      </c>
      <c r="I54" s="36" t="s">
        <v>285</v>
      </c>
      <c r="J54" s="36" t="s">
        <v>55</v>
      </c>
      <c r="K54" s="38">
        <v>564</v>
      </c>
      <c r="L54" s="39" t="s">
        <v>286</v>
      </c>
      <c r="M54" s="39" t="s">
        <v>57</v>
      </c>
      <c r="N54" s="41">
        <v>546</v>
      </c>
      <c r="O54" s="42" t="s">
        <v>287</v>
      </c>
      <c r="P54" s="42" t="s">
        <v>65</v>
      </c>
      <c r="Q54" s="43">
        <v>530</v>
      </c>
      <c r="R54" s="44">
        <v>870</v>
      </c>
      <c r="S54" s="34" t="s">
        <v>58</v>
      </c>
      <c r="T54" s="34" t="str">
        <f>IF(ISBLANK(U54),SUBSTITUTE("18 %",".",","),IF(U54&lt;=530,SUBSTITUTE("5 %",".",","),IF(U54&lt;=546,SUBSTITUTE("5.7 %",".",","),IF(U54&lt;=564,SUBSTITUTE("6.4 %",".",","),SUBSTITUTE("18 %",".",",")))))</f>
        <v>5,7 %</v>
      </c>
      <c r="U54" s="50">
        <v>546</v>
      </c>
      <c r="X54" s="48"/>
      <c r="Y54" s="48"/>
      <c r="Z54" s="48"/>
      <c r="AA54" s="48"/>
      <c r="AB54" s="48"/>
      <c r="AC54" s="48"/>
      <c r="AD54" s="48"/>
      <c r="AE54" s="48"/>
      <c r="AF54" s="48"/>
      <c r="AG54" s="48"/>
      <c r="AH54" s="48"/>
    </row>
    <row r="55" ht="15.75" customHeight="1">
      <c r="A55" s="33">
        <v>135812610</v>
      </c>
      <c r="B55" s="33" t="s">
        <v>288</v>
      </c>
      <c r="C55" s="34" t="s">
        <v>289</v>
      </c>
      <c r="D55" s="34" t="s">
        <v>290</v>
      </c>
      <c r="E55" s="34" t="s">
        <v>262</v>
      </c>
      <c r="F55" s="34">
        <v>20</v>
      </c>
      <c r="G55" s="35">
        <v>46127.124277326388</v>
      </c>
      <c r="H55" s="35">
        <v>46133.999305555553</v>
      </c>
      <c r="I55" s="36" t="s">
        <v>291</v>
      </c>
      <c r="J55" s="36" t="s">
        <v>55</v>
      </c>
      <c r="K55" s="38">
        <v>507</v>
      </c>
      <c r="L55" s="39" t="s">
        <v>292</v>
      </c>
      <c r="M55" s="39" t="s">
        <v>57</v>
      </c>
      <c r="N55" s="41">
        <v>481</v>
      </c>
      <c r="O55" s="42" t="s">
        <v>293</v>
      </c>
      <c r="P55" s="42" t="s">
        <v>65</v>
      </c>
      <c r="Q55" s="43">
        <v>456</v>
      </c>
      <c r="R55" s="44">
        <v>630</v>
      </c>
      <c r="S55" s="34" t="s">
        <v>58</v>
      </c>
      <c r="T55" s="34" t="str">
        <f>IF(ISBLANK(U55),SUBSTITUTE("18 %",".",","),IF(U55&lt;=456,SUBSTITUTE("5 %",".",","),IF(U55&lt;=481,SUBSTITUTE("5.7 %",".",","),IF(U55&lt;=507,SUBSTITUTE("6.4 %",".",","),SUBSTITUTE("18 %",".",",")))))</f>
        <v>18 %</v>
      </c>
      <c r="U55" s="51">
        <v>630</v>
      </c>
      <c r="X55" s="48"/>
      <c r="Y55" s="48"/>
      <c r="Z55" s="48"/>
      <c r="AA55" s="48"/>
      <c r="AB55" s="48"/>
      <c r="AC55" s="48"/>
      <c r="AD55" s="48"/>
      <c r="AE55" s="48"/>
      <c r="AF55" s="48"/>
      <c r="AG55" s="48"/>
      <c r="AH55" s="48"/>
    </row>
    <row r="56" ht="15.75" customHeight="1">
      <c r="A56" s="33">
        <v>135810716</v>
      </c>
      <c r="B56" s="33" t="s">
        <v>294</v>
      </c>
      <c r="C56" s="34" t="s">
        <v>295</v>
      </c>
      <c r="D56" s="34" t="s">
        <v>290</v>
      </c>
      <c r="E56" s="34" t="s">
        <v>262</v>
      </c>
      <c r="F56" s="34">
        <v>20</v>
      </c>
      <c r="G56" s="35">
        <v>46127.124003032397</v>
      </c>
      <c r="H56" s="35">
        <v>46133.999305555553</v>
      </c>
      <c r="I56" s="36" t="s">
        <v>291</v>
      </c>
      <c r="J56" s="36" t="s">
        <v>55</v>
      </c>
      <c r="K56" s="38">
        <v>507</v>
      </c>
      <c r="L56" s="39" t="s">
        <v>292</v>
      </c>
      <c r="M56" s="39" t="s">
        <v>57</v>
      </c>
      <c r="N56" s="41">
        <v>481</v>
      </c>
      <c r="O56" s="42" t="s">
        <v>293</v>
      </c>
      <c r="P56" s="42" t="s">
        <v>65</v>
      </c>
      <c r="Q56" s="43">
        <v>456</v>
      </c>
      <c r="R56" s="44">
        <v>630</v>
      </c>
      <c r="S56" s="34" t="s">
        <v>58</v>
      </c>
      <c r="T56" s="34" t="str">
        <f>IF(ISBLANK(U56),SUBSTITUTE("18 %",".",","),IF(U56&lt;=456,SUBSTITUTE("5 %",".",","),IF(U56&lt;=481,SUBSTITUTE("5.7 %",".",","),IF(U56&lt;=507,SUBSTITUTE("6.4 %",".",","),SUBSTITUTE("18 %",".",",")))))</f>
        <v>18 %</v>
      </c>
      <c r="U56" s="51">
        <v>630</v>
      </c>
      <c r="X56" s="48"/>
      <c r="Y56" s="48"/>
      <c r="Z56" s="48"/>
      <c r="AA56" s="48"/>
      <c r="AB56" s="48"/>
      <c r="AC56" s="48"/>
      <c r="AD56" s="48"/>
      <c r="AE56" s="48"/>
      <c r="AF56" s="48"/>
      <c r="AG56" s="48"/>
      <c r="AH56" s="48"/>
    </row>
    <row r="57" ht="15.75" customHeight="1">
      <c r="A57" s="33">
        <v>135809212</v>
      </c>
      <c r="B57" s="33" t="s">
        <v>296</v>
      </c>
      <c r="C57" s="34" t="s">
        <v>297</v>
      </c>
      <c r="D57" s="34" t="s">
        <v>290</v>
      </c>
      <c r="E57" s="34" t="s">
        <v>262</v>
      </c>
      <c r="F57" s="34">
        <v>20</v>
      </c>
      <c r="G57" s="35">
        <v>46127.123782465278</v>
      </c>
      <c r="H57" s="35">
        <v>46133.999305555553</v>
      </c>
      <c r="I57" s="36" t="s">
        <v>291</v>
      </c>
      <c r="J57" s="36" t="s">
        <v>55</v>
      </c>
      <c r="K57" s="38">
        <v>507</v>
      </c>
      <c r="L57" s="39" t="s">
        <v>292</v>
      </c>
      <c r="M57" s="39" t="s">
        <v>57</v>
      </c>
      <c r="N57" s="41">
        <v>481</v>
      </c>
      <c r="O57" s="42" t="s">
        <v>293</v>
      </c>
      <c r="P57" s="42" t="s">
        <v>65</v>
      </c>
      <c r="Q57" s="43">
        <v>456</v>
      </c>
      <c r="R57" s="44">
        <v>630</v>
      </c>
      <c r="S57" s="34" t="s">
        <v>58</v>
      </c>
      <c r="T57" s="34" t="str">
        <f>IF(ISBLANK(U57),SUBSTITUTE("18 %",".",","),IF(U57&lt;=456,SUBSTITUTE("5 %",".",","),IF(U57&lt;=481,SUBSTITUTE("5.7 %",".",","),IF(U57&lt;=507,SUBSTITUTE("6.4 %",".",","),SUBSTITUTE("18 %",".",",")))))</f>
        <v>18 %</v>
      </c>
      <c r="U57" s="51">
        <v>630</v>
      </c>
      <c r="X57" s="48"/>
      <c r="Y57" s="48"/>
      <c r="Z57" s="48"/>
      <c r="AA57" s="48"/>
      <c r="AB57" s="48"/>
      <c r="AC57" s="48"/>
      <c r="AD57" s="48"/>
      <c r="AE57" s="48"/>
      <c r="AF57" s="48"/>
      <c r="AG57" s="48"/>
      <c r="AH57" s="48"/>
    </row>
    <row r="58" ht="15.75" customHeight="1">
      <c r="A58" s="33">
        <v>135804154</v>
      </c>
      <c r="B58" s="33" t="s">
        <v>298</v>
      </c>
      <c r="C58" s="34" t="s">
        <v>299</v>
      </c>
      <c r="D58" s="34" t="s">
        <v>290</v>
      </c>
      <c r="E58" s="34" t="s">
        <v>262</v>
      </c>
      <c r="F58" s="34">
        <v>20</v>
      </c>
      <c r="G58" s="35">
        <v>46127.123031157411</v>
      </c>
      <c r="H58" s="35">
        <v>46133.999305555553</v>
      </c>
      <c r="I58" s="36" t="s">
        <v>300</v>
      </c>
      <c r="J58" s="36" t="s">
        <v>55</v>
      </c>
      <c r="K58" s="38">
        <v>427</v>
      </c>
      <c r="L58" s="39" t="s">
        <v>301</v>
      </c>
      <c r="M58" s="39" t="s">
        <v>57</v>
      </c>
      <c r="N58" s="41">
        <v>413</v>
      </c>
      <c r="O58" s="42" t="s">
        <v>302</v>
      </c>
      <c r="P58" s="42" t="s">
        <v>65</v>
      </c>
      <c r="Q58" s="43">
        <v>400</v>
      </c>
      <c r="R58" s="44">
        <v>630</v>
      </c>
      <c r="S58" s="34" t="s">
        <v>58</v>
      </c>
      <c r="T58" s="34" t="str">
        <f>IF(ISBLANK(U58),SUBSTITUTE("18 %",".",","),IF(U58&lt;=400,SUBSTITUTE("5 %",".",","),IF(U58&lt;=413,SUBSTITUTE("5.7 %",".",","),IF(U58&lt;=427,SUBSTITUTE("6.4 %",".",","),SUBSTITUTE("18 %",".",",")))))</f>
        <v>18 %</v>
      </c>
      <c r="U58" s="51">
        <v>630</v>
      </c>
      <c r="X58" s="48"/>
      <c r="Y58" s="48"/>
      <c r="Z58" s="48"/>
      <c r="AA58" s="48"/>
      <c r="AB58" s="48"/>
      <c r="AC58" s="48"/>
      <c r="AD58" s="48"/>
      <c r="AE58" s="48"/>
      <c r="AF58" s="48"/>
      <c r="AG58" s="48"/>
      <c r="AH58" s="48"/>
    </row>
    <row r="59" ht="15.75" customHeight="1">
      <c r="A59" s="33">
        <v>135784843</v>
      </c>
      <c r="B59" s="33" t="s">
        <v>303</v>
      </c>
      <c r="C59" s="34" t="s">
        <v>304</v>
      </c>
      <c r="D59" s="34" t="s">
        <v>290</v>
      </c>
      <c r="E59" s="34" t="s">
        <v>262</v>
      </c>
      <c r="F59" s="34">
        <v>20</v>
      </c>
      <c r="G59" s="35">
        <v>46127.120340555557</v>
      </c>
      <c r="H59" s="35">
        <v>46133.999305555553</v>
      </c>
      <c r="I59" s="36" t="s">
        <v>305</v>
      </c>
      <c r="J59" s="36" t="s">
        <v>55</v>
      </c>
      <c r="K59" s="38">
        <v>433</v>
      </c>
      <c r="L59" s="39" t="s">
        <v>306</v>
      </c>
      <c r="M59" s="39" t="s">
        <v>57</v>
      </c>
      <c r="N59" s="41">
        <v>419</v>
      </c>
      <c r="O59" s="42" t="s">
        <v>307</v>
      </c>
      <c r="P59" s="42" t="s">
        <v>65</v>
      </c>
      <c r="Q59" s="43">
        <v>405</v>
      </c>
      <c r="R59" s="44">
        <v>630</v>
      </c>
      <c r="S59" s="34" t="s">
        <v>58</v>
      </c>
      <c r="T59" s="34" t="str">
        <f>IF(ISBLANK(U59),SUBSTITUTE("18 %",".",","),IF(U59&lt;=405,SUBSTITUTE("5 %",".",","),IF(U59&lt;=419,SUBSTITUTE("5.7 %",".",","),IF(U59&lt;=433,SUBSTITUTE("6.4 %",".",","),SUBSTITUTE("18 %",".",",")))))</f>
        <v>18 %</v>
      </c>
      <c r="U59" s="51">
        <v>630</v>
      </c>
      <c r="X59" s="48"/>
      <c r="Y59" s="48"/>
      <c r="Z59" s="48"/>
      <c r="AA59" s="48"/>
      <c r="AB59" s="48"/>
      <c r="AC59" s="48"/>
      <c r="AD59" s="48"/>
      <c r="AE59" s="48"/>
      <c r="AF59" s="48"/>
      <c r="AG59" s="48"/>
      <c r="AH59" s="48"/>
    </row>
    <row r="60" ht="15.75" customHeight="1">
      <c r="A60" s="33">
        <v>135784690</v>
      </c>
      <c r="B60" s="33" t="s">
        <v>308</v>
      </c>
      <c r="C60" s="34" t="s">
        <v>309</v>
      </c>
      <c r="D60" s="34" t="s">
        <v>290</v>
      </c>
      <c r="E60" s="34" t="s">
        <v>262</v>
      </c>
      <c r="F60" s="34">
        <v>20</v>
      </c>
      <c r="G60" s="35">
        <v>46127.120319016212</v>
      </c>
      <c r="H60" s="35">
        <v>46133.999305555553</v>
      </c>
      <c r="I60" s="36" t="s">
        <v>291</v>
      </c>
      <c r="J60" s="36" t="s">
        <v>55</v>
      </c>
      <c r="K60" s="38">
        <v>507</v>
      </c>
      <c r="L60" s="39" t="s">
        <v>292</v>
      </c>
      <c r="M60" s="39" t="s">
        <v>57</v>
      </c>
      <c r="N60" s="41">
        <v>481</v>
      </c>
      <c r="O60" s="42" t="s">
        <v>293</v>
      </c>
      <c r="P60" s="42" t="s">
        <v>65</v>
      </c>
      <c r="Q60" s="43">
        <v>456</v>
      </c>
      <c r="R60" s="44">
        <v>630</v>
      </c>
      <c r="S60" s="34" t="s">
        <v>58</v>
      </c>
      <c r="T60" s="34" t="str">
        <f>IF(ISBLANK(U60),SUBSTITUTE("18 %",".",","),IF(U60&lt;=456,SUBSTITUTE("5 %",".",","),IF(U60&lt;=481,SUBSTITUTE("5.7 %",".",","),IF(U60&lt;=507,SUBSTITUTE("6.4 %",".",","),SUBSTITUTE("18 %",".",",")))))</f>
        <v>18 %</v>
      </c>
      <c r="U60" s="51">
        <v>630</v>
      </c>
      <c r="X60" s="48"/>
      <c r="Y60" s="48"/>
      <c r="Z60" s="48"/>
      <c r="AA60" s="48"/>
      <c r="AB60" s="48"/>
      <c r="AC60" s="48"/>
      <c r="AD60" s="48"/>
      <c r="AE60" s="48"/>
      <c r="AF60" s="48"/>
      <c r="AG60" s="48"/>
      <c r="AH60" s="48"/>
    </row>
    <row r="61" ht="15.75" customHeight="1">
      <c r="E61" s="48"/>
      <c r="F61" s="52"/>
      <c r="G61" s="48"/>
      <c r="H61" s="48"/>
      <c r="I61" s="53"/>
      <c r="J61" s="54"/>
      <c r="K61" s="55"/>
      <c r="L61" s="56"/>
      <c r="M61" s="57"/>
      <c r="N61" s="58"/>
      <c r="O61" s="59"/>
      <c r="P61" s="60"/>
      <c r="Q61" s="61"/>
      <c r="R61" s="62"/>
      <c r="S61" s="52"/>
      <c r="T61" s="48"/>
      <c r="U61" s="63"/>
      <c r="X61" s="48"/>
      <c r="Y61" s="48"/>
      <c r="Z61" s="48"/>
      <c r="AA61" s="48"/>
      <c r="AB61" s="48"/>
      <c r="AC61" s="48"/>
      <c r="AD61" s="48"/>
      <c r="AE61" s="48"/>
      <c r="AF61" s="48"/>
      <c r="AG61" s="48"/>
      <c r="AH61" s="48"/>
    </row>
    <row r="62" ht="15.75" customHeight="1">
      <c r="E62" s="48"/>
      <c r="F62" s="52"/>
      <c r="G62" s="48"/>
      <c r="H62" s="48"/>
      <c r="I62" s="53"/>
      <c r="J62" s="54"/>
      <c r="K62" s="55"/>
      <c r="L62" s="56"/>
      <c r="M62" s="57"/>
      <c r="N62" s="58"/>
      <c r="O62" s="59"/>
      <c r="P62" s="60"/>
      <c r="Q62" s="61"/>
      <c r="R62" s="62"/>
      <c r="S62" s="52"/>
      <c r="T62" s="48"/>
      <c r="U62" s="63"/>
      <c r="X62" s="48"/>
      <c r="Y62" s="48"/>
      <c r="Z62" s="48"/>
      <c r="AA62" s="48"/>
      <c r="AB62" s="48"/>
      <c r="AC62" s="48"/>
      <c r="AD62" s="48"/>
      <c r="AE62" s="48"/>
      <c r="AF62" s="48"/>
      <c r="AG62" s="48"/>
      <c r="AH62" s="48"/>
    </row>
    <row r="63" ht="15.75" customHeight="1">
      <c r="E63" s="48"/>
      <c r="F63" s="52"/>
      <c r="G63" s="48"/>
      <c r="H63" s="48"/>
      <c r="I63" s="53"/>
      <c r="J63" s="54"/>
      <c r="K63" s="55"/>
      <c r="L63" s="56"/>
      <c r="M63" s="57"/>
      <c r="N63" s="58"/>
      <c r="O63" s="59"/>
      <c r="P63" s="60"/>
      <c r="Q63" s="61"/>
      <c r="R63" s="62"/>
      <c r="S63" s="52"/>
      <c r="T63" s="48"/>
      <c r="U63" s="63"/>
      <c r="X63" s="48"/>
      <c r="Y63" s="48"/>
      <c r="Z63" s="48"/>
      <c r="AA63" s="48"/>
      <c r="AB63" s="48"/>
      <c r="AC63" s="48"/>
      <c r="AD63" s="48"/>
      <c r="AE63" s="48"/>
      <c r="AF63" s="48"/>
      <c r="AG63" s="48"/>
      <c r="AH63" s="48"/>
    </row>
    <row r="64" ht="15.75" customHeight="1">
      <c r="E64" s="48"/>
      <c r="F64" s="52"/>
      <c r="G64" s="48"/>
      <c r="H64" s="48"/>
      <c r="I64" s="53"/>
      <c r="J64" s="54"/>
      <c r="K64" s="55"/>
      <c r="L64" s="56"/>
      <c r="M64" s="57"/>
      <c r="N64" s="58"/>
      <c r="O64" s="59"/>
      <c r="P64" s="60"/>
      <c r="Q64" s="61"/>
      <c r="R64" s="62"/>
      <c r="S64" s="52"/>
      <c r="T64" s="48"/>
      <c r="U64" s="63"/>
      <c r="X64" s="48"/>
      <c r="Y64" s="48"/>
      <c r="Z64" s="48"/>
      <c r="AA64" s="48"/>
      <c r="AB64" s="48"/>
      <c r="AC64" s="48"/>
      <c r="AD64" s="48"/>
      <c r="AE64" s="48"/>
      <c r="AF64" s="48"/>
      <c r="AG64" s="48"/>
      <c r="AH64" s="48"/>
    </row>
    <row r="65" ht="15.75" customHeight="1">
      <c r="E65" s="48"/>
      <c r="F65" s="52"/>
      <c r="G65" s="48"/>
      <c r="H65" s="48"/>
      <c r="I65" s="53"/>
      <c r="J65" s="54"/>
      <c r="K65" s="55"/>
      <c r="L65" s="56"/>
      <c r="M65" s="57"/>
      <c r="N65" s="58"/>
      <c r="O65" s="59"/>
      <c r="P65" s="60"/>
      <c r="Q65" s="61"/>
      <c r="R65" s="62"/>
      <c r="S65" s="52"/>
      <c r="T65" s="48"/>
      <c r="U65" s="63"/>
      <c r="X65" s="48"/>
      <c r="Y65" s="48"/>
      <c r="Z65" s="48"/>
      <c r="AA65" s="48"/>
      <c r="AB65" s="48"/>
      <c r="AC65" s="48"/>
      <c r="AD65" s="48"/>
      <c r="AE65" s="48"/>
      <c r="AF65" s="48"/>
      <c r="AG65" s="48"/>
      <c r="AH65" s="48"/>
    </row>
    <row r="66" ht="15.75" customHeight="1">
      <c r="E66" s="48"/>
      <c r="F66" s="52"/>
      <c r="G66" s="48"/>
      <c r="H66" s="48"/>
      <c r="I66" s="53"/>
      <c r="J66" s="54"/>
      <c r="K66" s="55"/>
      <c r="L66" s="56"/>
      <c r="M66" s="57"/>
      <c r="N66" s="58"/>
      <c r="O66" s="59"/>
      <c r="P66" s="60"/>
      <c r="Q66" s="61"/>
      <c r="R66" s="62"/>
      <c r="S66" s="52"/>
      <c r="T66" s="48"/>
      <c r="U66" s="63"/>
      <c r="X66" s="48"/>
      <c r="Y66" s="48"/>
      <c r="Z66" s="48"/>
      <c r="AA66" s="48"/>
      <c r="AB66" s="48"/>
      <c r="AC66" s="48"/>
      <c r="AD66" s="48"/>
      <c r="AE66" s="48"/>
      <c r="AF66" s="48"/>
      <c r="AG66" s="48"/>
      <c r="AH66" s="48"/>
    </row>
    <row r="67" ht="15.75" customHeight="1">
      <c r="E67" s="48"/>
      <c r="F67" s="52"/>
      <c r="G67" s="48"/>
      <c r="H67" s="48"/>
      <c r="I67" s="53"/>
      <c r="J67" s="54"/>
      <c r="K67" s="55"/>
      <c r="L67" s="56"/>
      <c r="M67" s="57"/>
      <c r="N67" s="58"/>
      <c r="O67" s="59"/>
      <c r="P67" s="60"/>
      <c r="Q67" s="61"/>
      <c r="R67" s="62"/>
      <c r="S67" s="52"/>
      <c r="T67" s="48"/>
      <c r="U67" s="63"/>
      <c r="X67" s="48"/>
      <c r="Y67" s="48"/>
      <c r="Z67" s="48"/>
      <c r="AA67" s="48"/>
      <c r="AB67" s="48"/>
      <c r="AC67" s="48"/>
      <c r="AD67" s="48"/>
      <c r="AE67" s="48"/>
      <c r="AF67" s="48"/>
      <c r="AG67" s="48"/>
      <c r="AH67" s="48"/>
    </row>
    <row r="68" ht="15.75" customHeight="1">
      <c r="E68" s="48"/>
      <c r="F68" s="52"/>
      <c r="G68" s="48"/>
      <c r="H68" s="48"/>
      <c r="I68" s="53"/>
      <c r="J68" s="54"/>
      <c r="K68" s="55"/>
      <c r="L68" s="56"/>
      <c r="M68" s="57"/>
      <c r="N68" s="58"/>
      <c r="O68" s="59"/>
      <c r="P68" s="60"/>
      <c r="Q68" s="61"/>
      <c r="R68" s="62"/>
      <c r="S68" s="52"/>
      <c r="T68" s="48"/>
      <c r="U68" s="63"/>
      <c r="X68" s="48"/>
      <c r="Y68" s="48"/>
      <c r="Z68" s="48"/>
      <c r="AA68" s="48"/>
      <c r="AB68" s="48"/>
      <c r="AC68" s="48"/>
      <c r="AD68" s="48"/>
      <c r="AE68" s="48"/>
      <c r="AF68" s="48"/>
      <c r="AG68" s="48"/>
      <c r="AH68" s="48"/>
    </row>
    <row r="69" ht="15.75" customHeight="1">
      <c r="E69" s="48"/>
      <c r="F69" s="52"/>
      <c r="G69" s="48"/>
      <c r="H69" s="48"/>
      <c r="I69" s="53"/>
      <c r="J69" s="54"/>
      <c r="K69" s="55"/>
      <c r="L69" s="56"/>
      <c r="M69" s="57"/>
      <c r="N69" s="58"/>
      <c r="O69" s="59"/>
      <c r="P69" s="60"/>
      <c r="Q69" s="61"/>
      <c r="R69" s="62"/>
      <c r="S69" s="52"/>
      <c r="T69" s="48"/>
      <c r="U69" s="63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</row>
    <row r="70" ht="15.75" customHeight="1">
      <c r="E70" s="48"/>
      <c r="F70" s="52"/>
      <c r="G70" s="48"/>
      <c r="H70" s="48"/>
      <c r="I70" s="53"/>
      <c r="J70" s="54"/>
      <c r="K70" s="55"/>
      <c r="L70" s="56"/>
      <c r="M70" s="57"/>
      <c r="N70" s="58"/>
      <c r="O70" s="59"/>
      <c r="P70" s="60"/>
      <c r="Q70" s="61"/>
      <c r="R70" s="62"/>
      <c r="S70" s="52"/>
      <c r="T70" s="48"/>
      <c r="U70" s="63"/>
      <c r="X70" s="48"/>
      <c r="Y70" s="48"/>
      <c r="Z70" s="48"/>
      <c r="AA70" s="48"/>
      <c r="AB70" s="48"/>
      <c r="AC70" s="48"/>
      <c r="AD70" s="48"/>
      <c r="AE70" s="48"/>
      <c r="AF70" s="48"/>
      <c r="AG70" s="48"/>
      <c r="AH70" s="48"/>
    </row>
    <row r="71" ht="15.75" customHeight="1">
      <c r="E71" s="48"/>
      <c r="F71" s="52"/>
      <c r="G71" s="48"/>
      <c r="H71" s="48"/>
      <c r="I71" s="53"/>
      <c r="J71" s="54"/>
      <c r="K71" s="55"/>
      <c r="L71" s="56"/>
      <c r="M71" s="57"/>
      <c r="N71" s="58"/>
      <c r="O71" s="59"/>
      <c r="P71" s="60"/>
      <c r="Q71" s="61"/>
      <c r="R71" s="62"/>
      <c r="S71" s="52"/>
      <c r="T71" s="48"/>
      <c r="U71" s="63"/>
      <c r="X71" s="48"/>
      <c r="Y71" s="48"/>
      <c r="Z71" s="48"/>
      <c r="AA71" s="48"/>
      <c r="AB71" s="48"/>
      <c r="AC71" s="48"/>
      <c r="AD71" s="48"/>
      <c r="AE71" s="48"/>
      <c r="AF71" s="48"/>
      <c r="AG71" s="48"/>
      <c r="AH71" s="48"/>
    </row>
    <row r="72" ht="15.75" customHeight="1">
      <c r="E72" s="48"/>
      <c r="F72" s="52"/>
      <c r="G72" s="48"/>
      <c r="H72" s="48"/>
      <c r="I72" s="53"/>
      <c r="J72" s="54"/>
      <c r="K72" s="55"/>
      <c r="L72" s="56"/>
      <c r="M72" s="57"/>
      <c r="N72" s="58"/>
      <c r="O72" s="59"/>
      <c r="P72" s="60"/>
      <c r="Q72" s="61"/>
      <c r="R72" s="62"/>
      <c r="S72" s="52"/>
      <c r="T72" s="48"/>
      <c r="U72" s="63"/>
      <c r="X72" s="48"/>
      <c r="Y72" s="48"/>
      <c r="Z72" s="48"/>
      <c r="AA72" s="48"/>
      <c r="AB72" s="48"/>
      <c r="AC72" s="48"/>
      <c r="AD72" s="48"/>
      <c r="AE72" s="48"/>
      <c r="AF72" s="48"/>
      <c r="AG72" s="48"/>
      <c r="AH72" s="48"/>
    </row>
    <row r="73" ht="15.75" customHeight="1">
      <c r="E73" s="48"/>
      <c r="F73" s="52"/>
      <c r="G73" s="48"/>
      <c r="H73" s="48"/>
      <c r="I73" s="53"/>
      <c r="J73" s="54"/>
      <c r="K73" s="55"/>
      <c r="L73" s="56"/>
      <c r="M73" s="57"/>
      <c r="N73" s="58"/>
      <c r="O73" s="59"/>
      <c r="P73" s="60"/>
      <c r="Q73" s="61"/>
      <c r="R73" s="62"/>
      <c r="S73" s="52"/>
      <c r="T73" s="48"/>
      <c r="U73" s="63"/>
      <c r="X73" s="48"/>
      <c r="Y73" s="48"/>
      <c r="Z73" s="48"/>
      <c r="AA73" s="48"/>
      <c r="AB73" s="48"/>
      <c r="AC73" s="48"/>
      <c r="AD73" s="48"/>
      <c r="AE73" s="48"/>
      <c r="AF73" s="48"/>
      <c r="AG73" s="48"/>
      <c r="AH73" s="48"/>
    </row>
    <row r="74" ht="15.75" customHeight="1">
      <c r="E74" s="48"/>
      <c r="F74" s="52"/>
      <c r="G74" s="48"/>
      <c r="H74" s="48"/>
      <c r="I74" s="53"/>
      <c r="J74" s="54"/>
      <c r="K74" s="55"/>
      <c r="L74" s="56"/>
      <c r="M74" s="57"/>
      <c r="N74" s="58"/>
      <c r="O74" s="59"/>
      <c r="P74" s="60"/>
      <c r="Q74" s="61"/>
      <c r="R74" s="62"/>
      <c r="S74" s="52"/>
      <c r="T74" s="48"/>
      <c r="U74" s="63"/>
      <c r="X74" s="48"/>
      <c r="Y74" s="48"/>
      <c r="Z74" s="48"/>
      <c r="AA74" s="48"/>
      <c r="AB74" s="48"/>
      <c r="AC74" s="48"/>
      <c r="AD74" s="48"/>
      <c r="AE74" s="48"/>
      <c r="AF74" s="48"/>
      <c r="AG74" s="48"/>
      <c r="AH74" s="48"/>
    </row>
    <row r="75" ht="15.75" customHeight="1">
      <c r="E75" s="48"/>
      <c r="F75" s="52"/>
      <c r="G75" s="48"/>
      <c r="H75" s="48"/>
      <c r="I75" s="53"/>
      <c r="J75" s="54"/>
      <c r="K75" s="55"/>
      <c r="L75" s="56"/>
      <c r="M75" s="57"/>
      <c r="N75" s="58"/>
      <c r="O75" s="59"/>
      <c r="P75" s="60"/>
      <c r="Q75" s="61"/>
      <c r="R75" s="62"/>
      <c r="S75" s="52"/>
      <c r="T75" s="48"/>
      <c r="U75" s="63"/>
      <c r="X75" s="48"/>
      <c r="Y75" s="48"/>
      <c r="Z75" s="48"/>
      <c r="AA75" s="48"/>
      <c r="AB75" s="48"/>
      <c r="AC75" s="48"/>
      <c r="AD75" s="48"/>
      <c r="AE75" s="48"/>
      <c r="AF75" s="48"/>
      <c r="AG75" s="48"/>
      <c r="AH75" s="48"/>
    </row>
    <row r="76" ht="15.75" customHeight="1">
      <c r="E76" s="48"/>
      <c r="F76" s="52"/>
      <c r="G76" s="48"/>
      <c r="H76" s="48"/>
      <c r="I76" s="53"/>
      <c r="J76" s="54"/>
      <c r="K76" s="55"/>
      <c r="L76" s="56"/>
      <c r="M76" s="57"/>
      <c r="N76" s="58"/>
      <c r="O76" s="59"/>
      <c r="P76" s="60"/>
      <c r="Q76" s="61"/>
      <c r="R76" s="62"/>
      <c r="S76" s="52"/>
      <c r="T76" s="48"/>
      <c r="U76" s="63"/>
      <c r="X76" s="48"/>
      <c r="Y76" s="48"/>
      <c r="Z76" s="48"/>
      <c r="AA76" s="48"/>
      <c r="AB76" s="48"/>
      <c r="AC76" s="48"/>
      <c r="AD76" s="48"/>
      <c r="AE76" s="48"/>
      <c r="AF76" s="48"/>
      <c r="AG76" s="48"/>
      <c r="AH76" s="48"/>
    </row>
    <row r="77" ht="15.75" customHeight="1">
      <c r="E77" s="48"/>
      <c r="F77" s="52"/>
      <c r="G77" s="48"/>
      <c r="H77" s="48"/>
      <c r="I77" s="53"/>
      <c r="J77" s="54"/>
      <c r="K77" s="55"/>
      <c r="L77" s="56"/>
      <c r="M77" s="57"/>
      <c r="N77" s="58"/>
      <c r="O77" s="59"/>
      <c r="P77" s="60"/>
      <c r="Q77" s="61"/>
      <c r="R77" s="62"/>
      <c r="S77" s="52"/>
      <c r="T77" s="48"/>
      <c r="U77" s="63"/>
      <c r="X77" s="48"/>
      <c r="Y77" s="48"/>
      <c r="Z77" s="48"/>
      <c r="AA77" s="48"/>
      <c r="AB77" s="48"/>
      <c r="AC77" s="48"/>
      <c r="AD77" s="48"/>
      <c r="AE77" s="48"/>
      <c r="AF77" s="48"/>
      <c r="AG77" s="48"/>
      <c r="AH77" s="48"/>
    </row>
    <row r="78" ht="15.75" customHeight="1">
      <c r="E78" s="48"/>
      <c r="F78" s="52"/>
      <c r="G78" s="48"/>
      <c r="H78" s="48"/>
      <c r="I78" s="53"/>
      <c r="J78" s="54"/>
      <c r="K78" s="55"/>
      <c r="L78" s="56"/>
      <c r="M78" s="57"/>
      <c r="N78" s="58"/>
      <c r="O78" s="59"/>
      <c r="P78" s="60"/>
      <c r="Q78" s="61"/>
      <c r="R78" s="62"/>
      <c r="S78" s="52"/>
      <c r="T78" s="48"/>
      <c r="U78" s="63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</row>
    <row r="79" ht="15.75" customHeight="1">
      <c r="E79" s="48"/>
      <c r="F79" s="52"/>
      <c r="G79" s="48"/>
      <c r="H79" s="48"/>
      <c r="I79" s="53"/>
      <c r="J79" s="54"/>
      <c r="K79" s="55"/>
      <c r="L79" s="56"/>
      <c r="M79" s="57"/>
      <c r="N79" s="58"/>
      <c r="O79" s="59"/>
      <c r="P79" s="60"/>
      <c r="Q79" s="61"/>
      <c r="R79" s="62"/>
      <c r="S79" s="52"/>
      <c r="T79" s="48"/>
      <c r="U79" s="63"/>
      <c r="X79" s="48"/>
      <c r="Y79" s="48"/>
      <c r="Z79" s="48"/>
      <c r="AA79" s="48"/>
      <c r="AB79" s="48"/>
      <c r="AC79" s="48"/>
      <c r="AD79" s="48"/>
      <c r="AE79" s="48"/>
      <c r="AF79" s="48"/>
      <c r="AG79" s="48"/>
      <c r="AH79" s="48"/>
    </row>
    <row r="80" ht="15.75" customHeight="1">
      <c r="E80" s="48"/>
      <c r="F80" s="52"/>
      <c r="G80" s="48"/>
      <c r="H80" s="48"/>
      <c r="I80" s="53"/>
      <c r="J80" s="54"/>
      <c r="K80" s="55"/>
      <c r="L80" s="56"/>
      <c r="M80" s="57"/>
      <c r="N80" s="58"/>
      <c r="O80" s="59"/>
      <c r="P80" s="60"/>
      <c r="Q80" s="61"/>
      <c r="R80" s="62"/>
      <c r="S80" s="52"/>
      <c r="T80" s="48"/>
      <c r="U80" s="63"/>
      <c r="X80" s="48"/>
      <c r="Y80" s="48"/>
      <c r="Z80" s="48"/>
      <c r="AA80" s="48"/>
      <c r="AB80" s="48"/>
      <c r="AC80" s="48"/>
      <c r="AD80" s="48"/>
      <c r="AE80" s="48"/>
      <c r="AF80" s="48"/>
      <c r="AG80" s="48"/>
      <c r="AH80" s="48"/>
    </row>
    <row r="81" ht="15.75" customHeight="1">
      <c r="E81" s="48"/>
      <c r="F81" s="52"/>
      <c r="G81" s="48"/>
      <c r="H81" s="48"/>
      <c r="I81" s="53"/>
      <c r="J81" s="54"/>
      <c r="K81" s="55"/>
      <c r="L81" s="56"/>
      <c r="M81" s="57"/>
      <c r="N81" s="58"/>
      <c r="O81" s="59"/>
      <c r="P81" s="60"/>
      <c r="Q81" s="61"/>
      <c r="R81" s="62"/>
      <c r="S81" s="52"/>
      <c r="T81" s="48"/>
      <c r="U81" s="63"/>
      <c r="X81" s="48"/>
      <c r="Y81" s="48"/>
      <c r="Z81" s="48"/>
      <c r="AA81" s="48"/>
      <c r="AB81" s="48"/>
      <c r="AC81" s="48"/>
      <c r="AD81" s="48"/>
      <c r="AE81" s="48"/>
      <c r="AF81" s="48"/>
      <c r="AG81" s="48"/>
      <c r="AH81" s="48"/>
    </row>
    <row r="82" ht="15.75" customHeight="1">
      <c r="E82" s="48"/>
      <c r="F82" s="52"/>
      <c r="G82" s="48"/>
      <c r="H82" s="48"/>
      <c r="I82" s="53"/>
      <c r="J82" s="54"/>
      <c r="K82" s="55"/>
      <c r="L82" s="56"/>
      <c r="M82" s="57"/>
      <c r="N82" s="58"/>
      <c r="O82" s="59"/>
      <c r="P82" s="60"/>
      <c r="Q82" s="61"/>
      <c r="R82" s="62"/>
      <c r="S82" s="52"/>
      <c r="T82" s="48"/>
      <c r="U82" s="63"/>
      <c r="X82" s="48"/>
      <c r="Y82" s="48"/>
      <c r="Z82" s="48"/>
      <c r="AA82" s="48"/>
      <c r="AB82" s="48"/>
      <c r="AC82" s="48"/>
      <c r="AD82" s="48"/>
      <c r="AE82" s="48"/>
      <c r="AF82" s="48"/>
      <c r="AG82" s="48"/>
      <c r="AH82" s="48"/>
    </row>
    <row r="83" ht="15.75" customHeight="1">
      <c r="E83" s="48"/>
      <c r="F83" s="52"/>
      <c r="G83" s="48"/>
      <c r="H83" s="48"/>
      <c r="I83" s="53"/>
      <c r="J83" s="54"/>
      <c r="K83" s="55"/>
      <c r="L83" s="56"/>
      <c r="M83" s="57"/>
      <c r="N83" s="58"/>
      <c r="O83" s="59"/>
      <c r="P83" s="60"/>
      <c r="Q83" s="61"/>
      <c r="R83" s="62"/>
      <c r="S83" s="52"/>
      <c r="T83" s="48"/>
      <c r="U83" s="63"/>
      <c r="X83" s="48"/>
      <c r="Y83" s="48"/>
      <c r="Z83" s="48"/>
      <c r="AA83" s="48"/>
      <c r="AB83" s="48"/>
      <c r="AC83" s="48"/>
      <c r="AD83" s="48"/>
      <c r="AE83" s="48"/>
      <c r="AF83" s="48"/>
      <c r="AG83" s="48"/>
      <c r="AH83" s="48"/>
    </row>
    <row r="84" ht="15.75" customHeight="1">
      <c r="E84" s="48"/>
      <c r="F84" s="52"/>
      <c r="G84" s="48"/>
      <c r="H84" s="48"/>
      <c r="I84" s="53"/>
      <c r="J84" s="54"/>
      <c r="K84" s="55"/>
      <c r="L84" s="56"/>
      <c r="M84" s="57"/>
      <c r="N84" s="58"/>
      <c r="O84" s="59"/>
      <c r="P84" s="60"/>
      <c r="Q84" s="61"/>
      <c r="R84" s="62"/>
      <c r="S84" s="52"/>
      <c r="T84" s="48"/>
      <c r="U84" s="63"/>
      <c r="X84" s="48"/>
      <c r="Y84" s="48"/>
      <c r="Z84" s="48"/>
      <c r="AA84" s="48"/>
      <c r="AB84" s="48"/>
      <c r="AC84" s="48"/>
      <c r="AD84" s="48"/>
      <c r="AE84" s="48"/>
      <c r="AF84" s="48"/>
      <c r="AG84" s="48"/>
      <c r="AH84" s="48"/>
    </row>
    <row r="85" ht="15.75" customHeight="1">
      <c r="E85" s="48"/>
      <c r="F85" s="52"/>
      <c r="G85" s="48"/>
      <c r="H85" s="48"/>
      <c r="I85" s="53"/>
      <c r="J85" s="54"/>
      <c r="K85" s="55"/>
      <c r="L85" s="56"/>
      <c r="M85" s="57"/>
      <c r="N85" s="58"/>
      <c r="O85" s="59"/>
      <c r="P85" s="60"/>
      <c r="Q85" s="61"/>
      <c r="R85" s="62"/>
      <c r="S85" s="52"/>
      <c r="T85" s="48"/>
      <c r="U85" s="63"/>
      <c r="X85" s="48"/>
      <c r="Y85" s="48"/>
      <c r="Z85" s="48"/>
      <c r="AA85" s="48"/>
      <c r="AB85" s="48"/>
      <c r="AC85" s="48"/>
      <c r="AD85" s="48"/>
      <c r="AE85" s="48"/>
      <c r="AF85" s="48"/>
      <c r="AG85" s="48"/>
      <c r="AH85" s="48"/>
    </row>
    <row r="86" ht="15.75" customHeight="1">
      <c r="E86" s="48"/>
      <c r="F86" s="52"/>
      <c r="G86" s="48"/>
      <c r="H86" s="48"/>
      <c r="I86" s="53"/>
      <c r="J86" s="54"/>
      <c r="K86" s="55"/>
      <c r="L86" s="56"/>
      <c r="M86" s="57"/>
      <c r="N86" s="58"/>
      <c r="O86" s="59"/>
      <c r="P86" s="60"/>
      <c r="Q86" s="61"/>
      <c r="R86" s="62"/>
      <c r="S86" s="52"/>
      <c r="T86" s="48"/>
      <c r="U86" s="63"/>
      <c r="X86" s="48"/>
      <c r="Y86" s="48"/>
      <c r="Z86" s="48"/>
      <c r="AA86" s="48"/>
      <c r="AB86" s="48"/>
      <c r="AC86" s="48"/>
      <c r="AD86" s="48"/>
      <c r="AE86" s="48"/>
      <c r="AF86" s="48"/>
      <c r="AG86" s="48"/>
      <c r="AH86" s="48"/>
    </row>
    <row r="87" ht="15.75" customHeight="1">
      <c r="E87" s="48"/>
      <c r="F87" s="52"/>
      <c r="G87" s="48"/>
      <c r="H87" s="48"/>
      <c r="I87" s="53"/>
      <c r="J87" s="54"/>
      <c r="K87" s="55"/>
      <c r="L87" s="56"/>
      <c r="M87" s="57"/>
      <c r="N87" s="58"/>
      <c r="O87" s="59"/>
      <c r="P87" s="60"/>
      <c r="Q87" s="61"/>
      <c r="R87" s="62"/>
      <c r="S87" s="52"/>
      <c r="T87" s="48"/>
      <c r="U87" s="63"/>
      <c r="X87" s="48"/>
      <c r="Y87" s="48"/>
      <c r="Z87" s="48"/>
      <c r="AA87" s="48"/>
      <c r="AB87" s="48"/>
      <c r="AC87" s="48"/>
      <c r="AD87" s="48"/>
      <c r="AE87" s="48"/>
      <c r="AF87" s="48"/>
      <c r="AG87" s="48"/>
      <c r="AH87" s="48"/>
    </row>
    <row r="88" ht="15.75" customHeight="1">
      <c r="E88" s="48"/>
      <c r="F88" s="52"/>
      <c r="G88" s="48"/>
      <c r="H88" s="48"/>
      <c r="I88" s="53"/>
      <c r="J88" s="54"/>
      <c r="K88" s="55"/>
      <c r="L88" s="56"/>
      <c r="M88" s="57"/>
      <c r="N88" s="58"/>
      <c r="O88" s="59"/>
      <c r="P88" s="60"/>
      <c r="Q88" s="61"/>
      <c r="R88" s="62"/>
      <c r="S88" s="52"/>
      <c r="T88" s="48"/>
      <c r="U88" s="63"/>
      <c r="X88" s="48"/>
      <c r="Y88" s="48"/>
      <c r="Z88" s="48"/>
      <c r="AA88" s="48"/>
      <c r="AB88" s="48"/>
      <c r="AC88" s="48"/>
      <c r="AD88" s="48"/>
      <c r="AE88" s="48"/>
      <c r="AF88" s="48"/>
      <c r="AG88" s="48"/>
      <c r="AH88" s="48"/>
    </row>
    <row r="89" ht="15.75" customHeight="1">
      <c r="E89" s="48"/>
      <c r="F89" s="52"/>
      <c r="G89" s="48"/>
      <c r="H89" s="48"/>
      <c r="I89" s="53"/>
      <c r="J89" s="54"/>
      <c r="K89" s="55"/>
      <c r="L89" s="56"/>
      <c r="M89" s="57"/>
      <c r="N89" s="58"/>
      <c r="O89" s="59"/>
      <c r="P89" s="60"/>
      <c r="Q89" s="61"/>
      <c r="R89" s="62"/>
      <c r="S89" s="52"/>
      <c r="T89" s="48"/>
      <c r="U89" s="63"/>
      <c r="X89" s="48"/>
      <c r="Y89" s="48"/>
      <c r="Z89" s="48"/>
      <c r="AA89" s="48"/>
      <c r="AB89" s="48"/>
      <c r="AC89" s="48"/>
      <c r="AD89" s="48"/>
      <c r="AE89" s="48"/>
      <c r="AF89" s="48"/>
      <c r="AG89" s="48"/>
      <c r="AH89" s="48"/>
    </row>
    <row r="90" ht="15.75" customHeight="1">
      <c r="E90" s="48"/>
      <c r="F90" s="52"/>
      <c r="G90" s="48"/>
      <c r="H90" s="48"/>
      <c r="I90" s="53"/>
      <c r="J90" s="54"/>
      <c r="K90" s="55"/>
      <c r="L90" s="56"/>
      <c r="M90" s="57"/>
      <c r="N90" s="58"/>
      <c r="O90" s="59"/>
      <c r="P90" s="60"/>
      <c r="Q90" s="61"/>
      <c r="R90" s="62"/>
      <c r="S90" s="52"/>
      <c r="T90" s="48"/>
      <c r="U90" s="63"/>
      <c r="X90" s="48"/>
      <c r="Y90" s="48"/>
      <c r="Z90" s="48"/>
      <c r="AA90" s="48"/>
      <c r="AB90" s="48"/>
      <c r="AC90" s="48"/>
      <c r="AD90" s="48"/>
      <c r="AE90" s="48"/>
      <c r="AF90" s="48"/>
      <c r="AG90" s="48"/>
      <c r="AH90" s="48"/>
    </row>
    <row r="91" ht="15.75" customHeight="1">
      <c r="E91" s="48"/>
      <c r="F91" s="52"/>
      <c r="G91" s="48"/>
      <c r="H91" s="48"/>
      <c r="I91" s="53"/>
      <c r="J91" s="54"/>
      <c r="K91" s="55"/>
      <c r="L91" s="56"/>
      <c r="M91" s="57"/>
      <c r="N91" s="58"/>
      <c r="O91" s="59"/>
      <c r="P91" s="60"/>
      <c r="Q91" s="61"/>
      <c r="R91" s="62"/>
      <c r="S91" s="52"/>
      <c r="T91" s="48"/>
      <c r="U91" s="63"/>
      <c r="X91" s="48"/>
      <c r="Y91" s="48"/>
      <c r="Z91" s="48"/>
      <c r="AA91" s="48"/>
      <c r="AB91" s="48"/>
      <c r="AC91" s="48"/>
      <c r="AD91" s="48"/>
      <c r="AE91" s="48"/>
      <c r="AF91" s="48"/>
      <c r="AG91" s="48"/>
      <c r="AH91" s="48"/>
    </row>
    <row r="92" ht="15.75" customHeight="1">
      <c r="E92" s="48"/>
      <c r="F92" s="52"/>
      <c r="G92" s="48"/>
      <c r="H92" s="48"/>
      <c r="I92" s="53"/>
      <c r="J92" s="54"/>
      <c r="K92" s="55"/>
      <c r="L92" s="56"/>
      <c r="M92" s="57"/>
      <c r="N92" s="58"/>
      <c r="O92" s="59"/>
      <c r="P92" s="60"/>
      <c r="Q92" s="61"/>
      <c r="R92" s="62"/>
      <c r="S92" s="52"/>
      <c r="T92" s="48"/>
      <c r="U92" s="63"/>
      <c r="X92" s="48"/>
      <c r="Y92" s="48"/>
      <c r="Z92" s="48"/>
      <c r="AA92" s="48"/>
      <c r="AB92" s="48"/>
      <c r="AC92" s="48"/>
      <c r="AD92" s="48"/>
      <c r="AE92" s="48"/>
      <c r="AF92" s="48"/>
      <c r="AG92" s="48"/>
      <c r="AH92" s="48"/>
    </row>
    <row r="93" ht="15.75" customHeight="1">
      <c r="E93" s="48"/>
      <c r="F93" s="52"/>
      <c r="G93" s="48"/>
      <c r="H93" s="48"/>
      <c r="I93" s="53"/>
      <c r="J93" s="54"/>
      <c r="K93" s="55"/>
      <c r="L93" s="56"/>
      <c r="M93" s="57"/>
      <c r="N93" s="58"/>
      <c r="O93" s="59"/>
      <c r="P93" s="60"/>
      <c r="Q93" s="61"/>
      <c r="R93" s="62"/>
      <c r="S93" s="52"/>
      <c r="T93" s="48"/>
      <c r="U93" s="63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</row>
    <row r="94" ht="15.75" customHeight="1">
      <c r="E94" s="48"/>
      <c r="F94" s="52"/>
      <c r="G94" s="48"/>
      <c r="H94" s="48"/>
      <c r="I94" s="53"/>
      <c r="J94" s="54"/>
      <c r="K94" s="55"/>
      <c r="L94" s="56"/>
      <c r="M94" s="57"/>
      <c r="N94" s="58"/>
      <c r="O94" s="59"/>
      <c r="P94" s="60"/>
      <c r="Q94" s="61"/>
      <c r="R94" s="62"/>
      <c r="S94" s="52"/>
      <c r="T94" s="48"/>
      <c r="U94" s="63"/>
      <c r="X94" s="48"/>
      <c r="Y94" s="48"/>
      <c r="Z94" s="48"/>
      <c r="AA94" s="48"/>
      <c r="AB94" s="48"/>
      <c r="AC94" s="48"/>
      <c r="AD94" s="48"/>
      <c r="AE94" s="48"/>
      <c r="AF94" s="48"/>
      <c r="AG94" s="48"/>
      <c r="AH94" s="48"/>
    </row>
    <row r="95" ht="15.75" customHeight="1">
      <c r="E95" s="48"/>
      <c r="F95" s="52"/>
      <c r="G95" s="48"/>
      <c r="H95" s="48"/>
      <c r="I95" s="53"/>
      <c r="J95" s="54"/>
      <c r="K95" s="55"/>
      <c r="L95" s="56"/>
      <c r="M95" s="57"/>
      <c r="N95" s="58"/>
      <c r="O95" s="59"/>
      <c r="P95" s="60"/>
      <c r="Q95" s="61"/>
      <c r="R95" s="62"/>
      <c r="S95" s="52"/>
      <c r="T95" s="48"/>
      <c r="U95" s="63"/>
      <c r="X95" s="48"/>
      <c r="Y95" s="48"/>
      <c r="Z95" s="48"/>
      <c r="AA95" s="48"/>
      <c r="AB95" s="48"/>
      <c r="AC95" s="48"/>
      <c r="AD95" s="48"/>
      <c r="AE95" s="48"/>
      <c r="AF95" s="48"/>
      <c r="AG95" s="48"/>
      <c r="AH95" s="48"/>
    </row>
    <row r="96" ht="15.75" customHeight="1">
      <c r="E96" s="48"/>
      <c r="F96" s="52"/>
      <c r="G96" s="48"/>
      <c r="H96" s="48"/>
      <c r="I96" s="53"/>
      <c r="J96" s="54"/>
      <c r="K96" s="55"/>
      <c r="L96" s="56"/>
      <c r="M96" s="57"/>
      <c r="N96" s="58"/>
      <c r="O96" s="59"/>
      <c r="P96" s="60"/>
      <c r="Q96" s="61"/>
      <c r="R96" s="62"/>
      <c r="S96" s="52"/>
      <c r="T96" s="48"/>
      <c r="U96" s="63"/>
      <c r="X96" s="48"/>
      <c r="Y96" s="48"/>
      <c r="Z96" s="48"/>
      <c r="AA96" s="48"/>
      <c r="AB96" s="48"/>
      <c r="AC96" s="48"/>
      <c r="AD96" s="48"/>
      <c r="AE96" s="48"/>
      <c r="AF96" s="48"/>
      <c r="AG96" s="48"/>
      <c r="AH96" s="48"/>
    </row>
    <row r="97" ht="15.75" customHeight="1">
      <c r="E97" s="48"/>
      <c r="F97" s="52"/>
      <c r="G97" s="48"/>
      <c r="H97" s="48"/>
      <c r="I97" s="53"/>
      <c r="J97" s="54"/>
      <c r="K97" s="55"/>
      <c r="L97" s="56"/>
      <c r="M97" s="57"/>
      <c r="N97" s="58"/>
      <c r="O97" s="59"/>
      <c r="P97" s="60"/>
      <c r="Q97" s="61"/>
      <c r="R97" s="62"/>
      <c r="S97" s="52"/>
      <c r="T97" s="48"/>
      <c r="U97" s="63"/>
      <c r="X97" s="48"/>
      <c r="Y97" s="48"/>
      <c r="Z97" s="48"/>
      <c r="AA97" s="48"/>
      <c r="AB97" s="48"/>
      <c r="AC97" s="48"/>
      <c r="AD97" s="48"/>
      <c r="AE97" s="48"/>
      <c r="AF97" s="48"/>
      <c r="AG97" s="48"/>
      <c r="AH97" s="48"/>
    </row>
    <row r="98" ht="15.75" customHeight="1">
      <c r="E98" s="48"/>
      <c r="F98" s="52"/>
      <c r="G98" s="48"/>
      <c r="H98" s="48"/>
      <c r="I98" s="53"/>
      <c r="J98" s="54"/>
      <c r="K98" s="55"/>
      <c r="L98" s="56"/>
      <c r="M98" s="57"/>
      <c r="N98" s="58"/>
      <c r="O98" s="59"/>
      <c r="P98" s="60"/>
      <c r="Q98" s="61"/>
      <c r="R98" s="62"/>
      <c r="S98" s="52"/>
      <c r="T98" s="48"/>
      <c r="U98" s="63"/>
      <c r="X98" s="48"/>
      <c r="Y98" s="48"/>
      <c r="Z98" s="48"/>
      <c r="AA98" s="48"/>
      <c r="AB98" s="48"/>
      <c r="AC98" s="48"/>
      <c r="AD98" s="48"/>
      <c r="AE98" s="48"/>
      <c r="AF98" s="48"/>
      <c r="AG98" s="48"/>
      <c r="AH98" s="48"/>
    </row>
    <row r="99" ht="15.75" customHeight="1">
      <c r="E99" s="48"/>
      <c r="F99" s="52"/>
      <c r="G99" s="48"/>
      <c r="H99" s="48"/>
      <c r="I99" s="53"/>
      <c r="J99" s="54"/>
      <c r="K99" s="55"/>
      <c r="L99" s="56"/>
      <c r="M99" s="57"/>
      <c r="N99" s="58"/>
      <c r="O99" s="59"/>
      <c r="P99" s="60"/>
      <c r="Q99" s="61"/>
      <c r="R99" s="62"/>
      <c r="S99" s="52"/>
      <c r="T99" s="48"/>
      <c r="U99" s="63"/>
      <c r="X99" s="48"/>
      <c r="Y99" s="48"/>
      <c r="Z99" s="48"/>
      <c r="AA99" s="48"/>
      <c r="AB99" s="48"/>
      <c r="AC99" s="48"/>
      <c r="AD99" s="48"/>
      <c r="AE99" s="48"/>
      <c r="AF99" s="48"/>
      <c r="AG99" s="48"/>
      <c r="AH99" s="48"/>
    </row>
    <row r="100" ht="15.75" customHeight="1">
      <c r="E100" s="48"/>
      <c r="F100" s="52"/>
      <c r="G100" s="48"/>
      <c r="H100" s="48"/>
      <c r="I100" s="53"/>
      <c r="J100" s="54"/>
      <c r="K100" s="55"/>
      <c r="L100" s="56"/>
      <c r="M100" s="57"/>
      <c r="N100" s="58"/>
      <c r="O100" s="59"/>
      <c r="P100" s="60"/>
      <c r="Q100" s="61"/>
      <c r="R100" s="62"/>
      <c r="S100" s="52"/>
      <c r="T100" s="48"/>
      <c r="U100" s="63"/>
      <c r="X100" s="48"/>
      <c r="Y100" s="48"/>
      <c r="Z100" s="48"/>
      <c r="AA100" s="48"/>
      <c r="AB100" s="48"/>
      <c r="AC100" s="48"/>
      <c r="AD100" s="48"/>
      <c r="AE100" s="48"/>
      <c r="AF100" s="48"/>
      <c r="AG100" s="48"/>
      <c r="AH100" s="48"/>
    </row>
    <row r="101" ht="15.75" customHeight="1">
      <c r="E101" s="48"/>
      <c r="F101" s="52"/>
      <c r="G101" s="48"/>
      <c r="H101" s="48"/>
      <c r="I101" s="53"/>
      <c r="J101" s="54"/>
      <c r="K101" s="55"/>
      <c r="L101" s="56"/>
      <c r="M101" s="57"/>
      <c r="N101" s="58"/>
      <c r="O101" s="59"/>
      <c r="P101" s="60"/>
      <c r="Q101" s="61"/>
      <c r="R101" s="62"/>
      <c r="S101" s="52"/>
      <c r="T101" s="48"/>
      <c r="U101" s="63"/>
      <c r="X101" s="48"/>
      <c r="Y101" s="48"/>
      <c r="Z101" s="48"/>
      <c r="AA101" s="48"/>
      <c r="AB101" s="48"/>
      <c r="AC101" s="48"/>
      <c r="AD101" s="48"/>
      <c r="AE101" s="48"/>
      <c r="AF101" s="48"/>
      <c r="AG101" s="48"/>
      <c r="AH101" s="48"/>
    </row>
    <row r="102" ht="15.75" customHeight="1">
      <c r="E102" s="48"/>
      <c r="F102" s="52"/>
      <c r="G102" s="48"/>
      <c r="H102" s="48"/>
      <c r="I102" s="53"/>
      <c r="J102" s="54"/>
      <c r="K102" s="55"/>
      <c r="L102" s="56"/>
      <c r="M102" s="57"/>
      <c r="N102" s="58"/>
      <c r="O102" s="59"/>
      <c r="P102" s="60"/>
      <c r="Q102" s="61"/>
      <c r="R102" s="62"/>
      <c r="S102" s="52"/>
      <c r="T102" s="48"/>
      <c r="U102" s="63"/>
      <c r="X102" s="48"/>
      <c r="Y102" s="48"/>
      <c r="Z102" s="48"/>
      <c r="AA102" s="48"/>
      <c r="AB102" s="48"/>
      <c r="AC102" s="48"/>
      <c r="AD102" s="48"/>
      <c r="AE102" s="48"/>
      <c r="AF102" s="48"/>
      <c r="AG102" s="48"/>
      <c r="AH102" s="48"/>
    </row>
    <row r="103" ht="15.75" customHeight="1">
      <c r="E103" s="48"/>
      <c r="F103" s="52"/>
      <c r="G103" s="48"/>
      <c r="H103" s="48"/>
      <c r="I103" s="53"/>
      <c r="J103" s="54"/>
      <c r="K103" s="55"/>
      <c r="L103" s="56"/>
      <c r="M103" s="57"/>
      <c r="N103" s="58"/>
      <c r="O103" s="59"/>
      <c r="P103" s="60"/>
      <c r="Q103" s="61"/>
      <c r="R103" s="62"/>
      <c r="S103" s="52"/>
      <c r="T103" s="48"/>
      <c r="U103" s="63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</row>
    <row r="104" ht="15.75" customHeight="1">
      <c r="E104" s="48"/>
      <c r="F104" s="52"/>
      <c r="G104" s="48"/>
      <c r="H104" s="48"/>
      <c r="I104" s="53"/>
      <c r="J104" s="54"/>
      <c r="K104" s="55"/>
      <c r="L104" s="56"/>
      <c r="M104" s="57"/>
      <c r="N104" s="58"/>
      <c r="O104" s="59"/>
      <c r="P104" s="60"/>
      <c r="Q104" s="61"/>
      <c r="R104" s="62"/>
      <c r="S104" s="52"/>
      <c r="T104" s="48"/>
      <c r="U104" s="63"/>
      <c r="X104" s="48"/>
      <c r="Y104" s="48"/>
      <c r="Z104" s="48"/>
      <c r="AA104" s="48"/>
      <c r="AB104" s="48"/>
      <c r="AC104" s="48"/>
      <c r="AD104" s="48"/>
      <c r="AE104" s="48"/>
      <c r="AF104" s="48"/>
      <c r="AG104" s="48"/>
      <c r="AH104" s="48"/>
    </row>
    <row r="105" ht="15.75" customHeight="1">
      <c r="E105" s="48"/>
      <c r="F105" s="52"/>
      <c r="G105" s="48"/>
      <c r="H105" s="48"/>
      <c r="I105" s="53"/>
      <c r="J105" s="54"/>
      <c r="K105" s="55"/>
      <c r="L105" s="56"/>
      <c r="M105" s="57"/>
      <c r="N105" s="58"/>
      <c r="O105" s="59"/>
      <c r="P105" s="60"/>
      <c r="Q105" s="61"/>
      <c r="R105" s="62"/>
      <c r="S105" s="52"/>
      <c r="T105" s="48"/>
      <c r="U105" s="63"/>
      <c r="X105" s="48"/>
      <c r="Y105" s="48"/>
      <c r="Z105" s="48"/>
      <c r="AA105" s="48"/>
      <c r="AB105" s="48"/>
      <c r="AC105" s="48"/>
      <c r="AD105" s="48"/>
      <c r="AE105" s="48"/>
      <c r="AF105" s="48"/>
      <c r="AG105" s="48"/>
      <c r="AH105" s="48"/>
    </row>
    <row r="106" ht="15.75" customHeight="1">
      <c r="E106" s="48"/>
      <c r="F106" s="52"/>
      <c r="G106" s="48"/>
      <c r="H106" s="48"/>
      <c r="I106" s="53"/>
      <c r="J106" s="54"/>
      <c r="K106" s="55"/>
      <c r="L106" s="56"/>
      <c r="M106" s="57"/>
      <c r="N106" s="58"/>
      <c r="O106" s="59"/>
      <c r="P106" s="60"/>
      <c r="Q106" s="61"/>
      <c r="R106" s="62"/>
      <c r="S106" s="52"/>
      <c r="T106" s="48"/>
      <c r="U106" s="63"/>
      <c r="X106" s="48"/>
      <c r="Y106" s="48"/>
      <c r="Z106" s="48"/>
      <c r="AA106" s="48"/>
      <c r="AB106" s="48"/>
      <c r="AC106" s="48"/>
      <c r="AD106" s="48"/>
      <c r="AE106" s="48"/>
      <c r="AF106" s="48"/>
      <c r="AG106" s="48"/>
      <c r="AH106" s="48"/>
    </row>
    <row r="107" ht="15.75" customHeight="1">
      <c r="E107" s="48"/>
      <c r="F107" s="52"/>
      <c r="G107" s="48"/>
      <c r="H107" s="48"/>
      <c r="I107" s="53"/>
      <c r="J107" s="54"/>
      <c r="K107" s="55"/>
      <c r="L107" s="56"/>
      <c r="M107" s="57"/>
      <c r="N107" s="58"/>
      <c r="O107" s="59"/>
      <c r="P107" s="60"/>
      <c r="Q107" s="61"/>
      <c r="R107" s="62"/>
      <c r="S107" s="52"/>
      <c r="T107" s="48"/>
      <c r="U107" s="63"/>
      <c r="X107" s="48"/>
      <c r="Y107" s="48"/>
      <c r="Z107" s="48"/>
      <c r="AA107" s="48"/>
      <c r="AB107" s="48"/>
      <c r="AC107" s="48"/>
      <c r="AD107" s="48"/>
      <c r="AE107" s="48"/>
      <c r="AF107" s="48"/>
      <c r="AG107" s="48"/>
      <c r="AH107" s="48"/>
    </row>
    <row r="108" ht="15.75" customHeight="1">
      <c r="E108" s="48"/>
      <c r="F108" s="52"/>
      <c r="G108" s="48"/>
      <c r="H108" s="48"/>
      <c r="I108" s="53"/>
      <c r="J108" s="54"/>
      <c r="K108" s="55"/>
      <c r="L108" s="56"/>
      <c r="M108" s="57"/>
      <c r="N108" s="58"/>
      <c r="O108" s="59"/>
      <c r="P108" s="60"/>
      <c r="Q108" s="61"/>
      <c r="R108" s="62"/>
      <c r="S108" s="52"/>
      <c r="T108" s="48"/>
      <c r="U108" s="63"/>
      <c r="X108" s="48"/>
      <c r="Y108" s="48"/>
      <c r="Z108" s="48"/>
      <c r="AA108" s="48"/>
      <c r="AB108" s="48"/>
      <c r="AC108" s="48"/>
      <c r="AD108" s="48"/>
      <c r="AE108" s="48"/>
      <c r="AF108" s="48"/>
      <c r="AG108" s="48"/>
      <c r="AH108" s="48"/>
    </row>
    <row r="109" ht="15.75" customHeight="1">
      <c r="E109" s="48"/>
      <c r="F109" s="52"/>
      <c r="G109" s="48"/>
      <c r="H109" s="48"/>
      <c r="I109" s="53"/>
      <c r="J109" s="54"/>
      <c r="K109" s="55"/>
      <c r="L109" s="56"/>
      <c r="M109" s="57"/>
      <c r="N109" s="58"/>
      <c r="O109" s="59"/>
      <c r="P109" s="60"/>
      <c r="Q109" s="61"/>
      <c r="R109" s="62"/>
      <c r="S109" s="52"/>
      <c r="T109" s="48"/>
      <c r="U109" s="63"/>
      <c r="X109" s="48"/>
      <c r="Y109" s="48"/>
      <c r="Z109" s="48"/>
      <c r="AA109" s="48"/>
      <c r="AB109" s="48"/>
      <c r="AC109" s="48"/>
      <c r="AD109" s="48"/>
      <c r="AE109" s="48"/>
      <c r="AF109" s="48"/>
      <c r="AG109" s="48"/>
      <c r="AH109" s="48"/>
    </row>
    <row r="110" ht="15.75" customHeight="1">
      <c r="E110" s="48"/>
      <c r="F110" s="52"/>
      <c r="G110" s="48"/>
      <c r="H110" s="48"/>
      <c r="I110" s="53"/>
      <c r="J110" s="54"/>
      <c r="K110" s="55"/>
      <c r="L110" s="56"/>
      <c r="M110" s="57"/>
      <c r="N110" s="58"/>
      <c r="O110" s="59"/>
      <c r="P110" s="60"/>
      <c r="Q110" s="61"/>
      <c r="R110" s="62"/>
      <c r="S110" s="52"/>
      <c r="T110" s="48"/>
      <c r="U110" s="63"/>
      <c r="X110" s="48"/>
      <c r="Y110" s="48"/>
      <c r="Z110" s="48"/>
      <c r="AA110" s="48"/>
      <c r="AB110" s="48"/>
      <c r="AC110" s="48"/>
      <c r="AD110" s="48"/>
      <c r="AE110" s="48"/>
      <c r="AF110" s="48"/>
      <c r="AG110" s="48"/>
      <c r="AH110" s="48"/>
    </row>
    <row r="111" ht="15.75" customHeight="1">
      <c r="E111" s="48"/>
      <c r="F111" s="52"/>
      <c r="G111" s="48"/>
      <c r="H111" s="48"/>
      <c r="I111" s="53"/>
      <c r="J111" s="54"/>
      <c r="K111" s="55"/>
      <c r="L111" s="56"/>
      <c r="M111" s="57"/>
      <c r="N111" s="58"/>
      <c r="O111" s="59"/>
      <c r="P111" s="60"/>
      <c r="Q111" s="61"/>
      <c r="R111" s="62"/>
      <c r="S111" s="52"/>
      <c r="T111" s="48"/>
      <c r="U111" s="63"/>
      <c r="X111" s="48"/>
      <c r="Y111" s="48"/>
      <c r="Z111" s="48"/>
      <c r="AA111" s="48"/>
      <c r="AB111" s="48"/>
      <c r="AC111" s="48"/>
      <c r="AD111" s="48"/>
      <c r="AE111" s="48"/>
      <c r="AF111" s="48"/>
      <c r="AG111" s="48"/>
      <c r="AH111" s="48"/>
    </row>
    <row r="112" ht="15.75" customHeight="1">
      <c r="E112" s="48"/>
      <c r="F112" s="52"/>
      <c r="G112" s="48"/>
      <c r="H112" s="48"/>
      <c r="I112" s="53"/>
      <c r="J112" s="54"/>
      <c r="K112" s="55"/>
      <c r="L112" s="56"/>
      <c r="M112" s="57"/>
      <c r="N112" s="58"/>
      <c r="O112" s="59"/>
      <c r="P112" s="60"/>
      <c r="Q112" s="61"/>
      <c r="R112" s="62"/>
      <c r="S112" s="52"/>
      <c r="T112" s="48"/>
      <c r="U112" s="63"/>
      <c r="X112" s="48"/>
      <c r="Y112" s="48"/>
      <c r="Z112" s="48"/>
      <c r="AA112" s="48"/>
      <c r="AB112" s="48"/>
      <c r="AC112" s="48"/>
      <c r="AD112" s="48"/>
      <c r="AE112" s="48"/>
      <c r="AF112" s="48"/>
      <c r="AG112" s="48"/>
      <c r="AH112" s="48"/>
    </row>
    <row r="113" ht="15.75" customHeight="1">
      <c r="E113" s="48"/>
      <c r="F113" s="52"/>
      <c r="G113" s="48"/>
      <c r="H113" s="48"/>
      <c r="I113" s="53"/>
      <c r="J113" s="54"/>
      <c r="K113" s="55"/>
      <c r="L113" s="56"/>
      <c r="M113" s="57"/>
      <c r="N113" s="58"/>
      <c r="O113" s="59"/>
      <c r="P113" s="60"/>
      <c r="Q113" s="61"/>
      <c r="R113" s="62"/>
      <c r="S113" s="52"/>
      <c r="T113" s="48"/>
      <c r="U113" s="63"/>
      <c r="X113" s="48"/>
      <c r="Y113" s="48"/>
      <c r="Z113" s="48"/>
      <c r="AA113" s="48"/>
      <c r="AB113" s="48"/>
      <c r="AC113" s="48"/>
      <c r="AD113" s="48"/>
      <c r="AE113" s="48"/>
      <c r="AF113" s="48"/>
      <c r="AG113" s="48"/>
      <c r="AH113" s="48"/>
    </row>
    <row r="114" ht="15.75" customHeight="1">
      <c r="E114" s="48"/>
      <c r="F114" s="52"/>
      <c r="G114" s="48"/>
      <c r="H114" s="48"/>
      <c r="I114" s="53"/>
      <c r="J114" s="54"/>
      <c r="K114" s="55"/>
      <c r="L114" s="56"/>
      <c r="M114" s="57"/>
      <c r="N114" s="58"/>
      <c r="O114" s="59"/>
      <c r="P114" s="60"/>
      <c r="Q114" s="61"/>
      <c r="R114" s="62"/>
      <c r="S114" s="52"/>
      <c r="T114" s="48"/>
      <c r="U114" s="63"/>
      <c r="X114" s="48"/>
      <c r="Y114" s="48"/>
      <c r="Z114" s="48"/>
      <c r="AA114" s="48"/>
      <c r="AB114" s="48"/>
      <c r="AC114" s="48"/>
      <c r="AD114" s="48"/>
      <c r="AE114" s="48"/>
      <c r="AF114" s="48"/>
      <c r="AG114" s="48"/>
      <c r="AH114" s="48"/>
    </row>
    <row r="115" ht="15.75" customHeight="1">
      <c r="E115" s="48"/>
      <c r="F115" s="52"/>
      <c r="G115" s="48"/>
      <c r="H115" s="48"/>
      <c r="I115" s="53"/>
      <c r="J115" s="54"/>
      <c r="K115" s="55"/>
      <c r="L115" s="56"/>
      <c r="M115" s="57"/>
      <c r="N115" s="58"/>
      <c r="O115" s="59"/>
      <c r="P115" s="60"/>
      <c r="Q115" s="61"/>
      <c r="R115" s="62"/>
      <c r="S115" s="52"/>
      <c r="T115" s="48"/>
      <c r="U115" s="63"/>
      <c r="X115" s="48"/>
      <c r="Y115" s="48"/>
      <c r="Z115" s="48"/>
      <c r="AA115" s="48"/>
      <c r="AB115" s="48"/>
      <c r="AC115" s="48"/>
      <c r="AD115" s="48"/>
      <c r="AE115" s="48"/>
      <c r="AF115" s="48"/>
      <c r="AG115" s="48"/>
      <c r="AH115" s="48"/>
    </row>
    <row r="116" ht="15.75" customHeight="1">
      <c r="E116" s="48"/>
      <c r="F116" s="52"/>
      <c r="G116" s="48"/>
      <c r="H116" s="48"/>
      <c r="I116" s="53"/>
      <c r="J116" s="54"/>
      <c r="K116" s="55"/>
      <c r="L116" s="56"/>
      <c r="M116" s="57"/>
      <c r="N116" s="58"/>
      <c r="O116" s="59"/>
      <c r="P116" s="60"/>
      <c r="Q116" s="61"/>
      <c r="R116" s="62"/>
      <c r="S116" s="52"/>
      <c r="T116" s="48"/>
      <c r="U116" s="63"/>
      <c r="X116" s="48"/>
      <c r="Y116" s="48"/>
      <c r="Z116" s="48"/>
      <c r="AA116" s="48"/>
      <c r="AB116" s="48"/>
      <c r="AC116" s="48"/>
      <c r="AD116" s="48"/>
      <c r="AE116" s="48"/>
      <c r="AF116" s="48"/>
      <c r="AG116" s="48"/>
      <c r="AH116" s="48"/>
    </row>
    <row r="117" ht="15.75" customHeight="1">
      <c r="E117" s="48"/>
      <c r="F117" s="52"/>
      <c r="G117" s="48"/>
      <c r="H117" s="48"/>
      <c r="I117" s="53"/>
      <c r="J117" s="54"/>
      <c r="K117" s="55"/>
      <c r="L117" s="56"/>
      <c r="M117" s="57"/>
      <c r="N117" s="58"/>
      <c r="O117" s="59"/>
      <c r="P117" s="60"/>
      <c r="Q117" s="61"/>
      <c r="R117" s="62"/>
      <c r="S117" s="52"/>
      <c r="T117" s="48"/>
      <c r="U117" s="63"/>
      <c r="X117" s="48"/>
      <c r="Y117" s="48"/>
      <c r="Z117" s="48"/>
      <c r="AA117" s="48"/>
      <c r="AB117" s="48"/>
      <c r="AC117" s="48"/>
      <c r="AD117" s="48"/>
      <c r="AE117" s="48"/>
      <c r="AF117" s="48"/>
      <c r="AG117" s="48"/>
      <c r="AH117" s="48"/>
    </row>
    <row r="118" ht="15.75" customHeight="1">
      <c r="E118" s="48"/>
      <c r="F118" s="52"/>
      <c r="G118" s="48"/>
      <c r="H118" s="48"/>
      <c r="I118" s="53"/>
      <c r="J118" s="54"/>
      <c r="K118" s="55"/>
      <c r="L118" s="56"/>
      <c r="M118" s="57"/>
      <c r="N118" s="58"/>
      <c r="O118" s="59"/>
      <c r="P118" s="60"/>
      <c r="Q118" s="61"/>
      <c r="R118" s="62"/>
      <c r="S118" s="52"/>
      <c r="T118" s="48"/>
      <c r="U118" s="63"/>
      <c r="X118" s="48"/>
      <c r="Y118" s="48"/>
      <c r="Z118" s="48"/>
      <c r="AA118" s="48"/>
      <c r="AB118" s="48"/>
      <c r="AC118" s="48"/>
      <c r="AD118" s="48"/>
      <c r="AE118" s="48"/>
      <c r="AF118" s="48"/>
      <c r="AG118" s="48"/>
      <c r="AH118" s="48"/>
    </row>
    <row r="119" ht="15.75" customHeight="1">
      <c r="E119" s="48"/>
      <c r="F119" s="52"/>
      <c r="G119" s="48"/>
      <c r="H119" s="48"/>
      <c r="I119" s="53"/>
      <c r="J119" s="54"/>
      <c r="K119" s="55"/>
      <c r="L119" s="56"/>
      <c r="M119" s="57"/>
      <c r="N119" s="58"/>
      <c r="O119" s="59"/>
      <c r="P119" s="60"/>
      <c r="Q119" s="61"/>
      <c r="R119" s="62"/>
      <c r="S119" s="52"/>
      <c r="T119" s="48"/>
      <c r="U119" s="63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</row>
    <row r="120" ht="15.75" customHeight="1">
      <c r="E120" s="48"/>
      <c r="F120" s="52"/>
      <c r="G120" s="48"/>
      <c r="H120" s="48"/>
      <c r="I120" s="53"/>
      <c r="J120" s="54"/>
      <c r="K120" s="55"/>
      <c r="L120" s="56"/>
      <c r="M120" s="57"/>
      <c r="N120" s="58"/>
      <c r="O120" s="59"/>
      <c r="P120" s="60"/>
      <c r="Q120" s="61"/>
      <c r="R120" s="62"/>
      <c r="S120" s="52"/>
      <c r="T120" s="48"/>
      <c r="U120" s="63"/>
      <c r="X120" s="48"/>
      <c r="Y120" s="48"/>
      <c r="Z120" s="48"/>
      <c r="AA120" s="48"/>
      <c r="AB120" s="48"/>
      <c r="AC120" s="48"/>
      <c r="AD120" s="48"/>
      <c r="AE120" s="48"/>
      <c r="AF120" s="48"/>
      <c r="AG120" s="48"/>
      <c r="AH120" s="48"/>
    </row>
    <row r="121" ht="15.75" customHeight="1">
      <c r="E121" s="48"/>
      <c r="F121" s="52"/>
      <c r="G121" s="48"/>
      <c r="H121" s="48"/>
      <c r="I121" s="53"/>
      <c r="J121" s="54"/>
      <c r="K121" s="55"/>
      <c r="L121" s="56"/>
      <c r="M121" s="57"/>
      <c r="N121" s="58"/>
      <c r="O121" s="59"/>
      <c r="P121" s="60"/>
      <c r="Q121" s="61"/>
      <c r="R121" s="62"/>
      <c r="S121" s="52"/>
      <c r="T121" s="48"/>
      <c r="U121" s="63"/>
      <c r="X121" s="48"/>
      <c r="Y121" s="48"/>
      <c r="Z121" s="48"/>
      <c r="AA121" s="48"/>
      <c r="AB121" s="48"/>
      <c r="AC121" s="48"/>
      <c r="AD121" s="48"/>
      <c r="AE121" s="48"/>
      <c r="AF121" s="48"/>
      <c r="AG121" s="48"/>
      <c r="AH121" s="48"/>
    </row>
    <row r="122" ht="15.75" customHeight="1">
      <c r="E122" s="48"/>
      <c r="F122" s="52"/>
      <c r="G122" s="48"/>
      <c r="H122" s="48"/>
      <c r="I122" s="53"/>
      <c r="J122" s="54"/>
      <c r="K122" s="55"/>
      <c r="L122" s="56"/>
      <c r="M122" s="57"/>
      <c r="N122" s="58"/>
      <c r="O122" s="59"/>
      <c r="P122" s="60"/>
      <c r="Q122" s="61"/>
      <c r="R122" s="62"/>
      <c r="S122" s="52"/>
      <c r="T122" s="48"/>
      <c r="U122" s="63"/>
      <c r="X122" s="48"/>
      <c r="Y122" s="48"/>
      <c r="Z122" s="48"/>
      <c r="AA122" s="48"/>
      <c r="AB122" s="48"/>
      <c r="AC122" s="48"/>
      <c r="AD122" s="48"/>
      <c r="AE122" s="48"/>
      <c r="AF122" s="48"/>
      <c r="AG122" s="48"/>
      <c r="AH122" s="48"/>
    </row>
    <row r="123" ht="15.75" customHeight="1">
      <c r="E123" s="48"/>
      <c r="F123" s="52"/>
      <c r="G123" s="48"/>
      <c r="H123" s="48"/>
      <c r="I123" s="53"/>
      <c r="J123" s="54"/>
      <c r="K123" s="55"/>
      <c r="L123" s="56"/>
      <c r="M123" s="57"/>
      <c r="N123" s="58"/>
      <c r="O123" s="59"/>
      <c r="P123" s="60"/>
      <c r="Q123" s="61"/>
      <c r="R123" s="62"/>
      <c r="S123" s="52"/>
      <c r="T123" s="48"/>
      <c r="U123" s="63"/>
      <c r="X123" s="48"/>
      <c r="Y123" s="48"/>
      <c r="Z123" s="48"/>
      <c r="AA123" s="48"/>
      <c r="AB123" s="48"/>
      <c r="AC123" s="48"/>
      <c r="AD123" s="48"/>
      <c r="AE123" s="48"/>
      <c r="AF123" s="48"/>
      <c r="AG123" s="48"/>
      <c r="AH123" s="48"/>
    </row>
    <row r="124" ht="15.75" customHeight="1">
      <c r="E124" s="48"/>
      <c r="F124" s="52"/>
      <c r="G124" s="48"/>
      <c r="H124" s="48"/>
      <c r="I124" s="53"/>
      <c r="J124" s="54"/>
      <c r="K124" s="55"/>
      <c r="L124" s="56"/>
      <c r="M124" s="57"/>
      <c r="N124" s="58"/>
      <c r="O124" s="59"/>
      <c r="P124" s="60"/>
      <c r="Q124" s="61"/>
      <c r="R124" s="62"/>
      <c r="S124" s="52"/>
      <c r="T124" s="48"/>
      <c r="U124" s="63"/>
      <c r="X124" s="48"/>
      <c r="Y124" s="48"/>
      <c r="Z124" s="48"/>
      <c r="AA124" s="48"/>
      <c r="AB124" s="48"/>
      <c r="AC124" s="48"/>
      <c r="AD124" s="48"/>
      <c r="AE124" s="48"/>
      <c r="AF124" s="48"/>
      <c r="AG124" s="48"/>
      <c r="AH124" s="48"/>
    </row>
    <row r="125" ht="15.75" customHeight="1">
      <c r="E125" s="48"/>
      <c r="F125" s="52"/>
      <c r="G125" s="48"/>
      <c r="H125" s="48"/>
      <c r="I125" s="53"/>
      <c r="J125" s="54"/>
      <c r="K125" s="55"/>
      <c r="L125" s="56"/>
      <c r="M125" s="57"/>
      <c r="N125" s="58"/>
      <c r="O125" s="59"/>
      <c r="P125" s="60"/>
      <c r="Q125" s="61"/>
      <c r="R125" s="62"/>
      <c r="S125" s="52"/>
      <c r="T125" s="48"/>
      <c r="U125" s="63"/>
      <c r="X125" s="48"/>
      <c r="Y125" s="48"/>
      <c r="Z125" s="48"/>
      <c r="AA125" s="48"/>
      <c r="AB125" s="48"/>
      <c r="AC125" s="48"/>
      <c r="AD125" s="48"/>
      <c r="AE125" s="48"/>
      <c r="AF125" s="48"/>
      <c r="AG125" s="48"/>
      <c r="AH125" s="48"/>
    </row>
    <row r="126" ht="15.75" customHeight="1">
      <c r="E126" s="48"/>
      <c r="F126" s="52"/>
      <c r="G126" s="48"/>
      <c r="H126" s="48"/>
      <c r="I126" s="53"/>
      <c r="J126" s="54"/>
      <c r="K126" s="55"/>
      <c r="L126" s="56"/>
      <c r="M126" s="57"/>
      <c r="N126" s="58"/>
      <c r="O126" s="59"/>
      <c r="P126" s="60"/>
      <c r="Q126" s="61"/>
      <c r="R126" s="62"/>
      <c r="S126" s="52"/>
      <c r="T126" s="48"/>
      <c r="U126" s="63"/>
      <c r="X126" s="48"/>
      <c r="Y126" s="48"/>
      <c r="Z126" s="48"/>
      <c r="AA126" s="48"/>
      <c r="AB126" s="48"/>
      <c r="AC126" s="48"/>
      <c r="AD126" s="48"/>
      <c r="AE126" s="48"/>
      <c r="AF126" s="48"/>
      <c r="AG126" s="48"/>
      <c r="AH126" s="48"/>
    </row>
    <row r="127" ht="15.75" customHeight="1">
      <c r="E127" s="48"/>
      <c r="F127" s="52"/>
      <c r="G127" s="48"/>
      <c r="H127" s="48"/>
      <c r="I127" s="53"/>
      <c r="J127" s="54"/>
      <c r="K127" s="55"/>
      <c r="L127" s="56"/>
      <c r="M127" s="57"/>
      <c r="N127" s="58"/>
      <c r="O127" s="59"/>
      <c r="P127" s="60"/>
      <c r="Q127" s="61"/>
      <c r="R127" s="62"/>
      <c r="S127" s="52"/>
      <c r="T127" s="48"/>
      <c r="U127" s="63"/>
      <c r="X127" s="48"/>
      <c r="Y127" s="48"/>
      <c r="Z127" s="48"/>
      <c r="AA127" s="48"/>
      <c r="AB127" s="48"/>
      <c r="AC127" s="48"/>
      <c r="AD127" s="48"/>
      <c r="AE127" s="48"/>
      <c r="AF127" s="48"/>
      <c r="AG127" s="48"/>
      <c r="AH127" s="48"/>
    </row>
    <row r="128" ht="15.75" customHeight="1">
      <c r="E128" s="48"/>
      <c r="F128" s="52"/>
      <c r="G128" s="48"/>
      <c r="H128" s="48"/>
      <c r="I128" s="53"/>
      <c r="J128" s="54"/>
      <c r="K128" s="55"/>
      <c r="L128" s="56"/>
      <c r="M128" s="57"/>
      <c r="N128" s="58"/>
      <c r="O128" s="59"/>
      <c r="P128" s="60"/>
      <c r="Q128" s="61"/>
      <c r="R128" s="62"/>
      <c r="S128" s="52"/>
      <c r="T128" s="48"/>
      <c r="U128" s="63"/>
      <c r="X128" s="48"/>
      <c r="Y128" s="48"/>
      <c r="Z128" s="48"/>
      <c r="AA128" s="48"/>
      <c r="AB128" s="48"/>
      <c r="AC128" s="48"/>
      <c r="AD128" s="48"/>
      <c r="AE128" s="48"/>
      <c r="AF128" s="48"/>
      <c r="AG128" s="48"/>
      <c r="AH128" s="48"/>
    </row>
    <row r="129" ht="15.75" customHeight="1">
      <c r="E129" s="48"/>
      <c r="F129" s="52"/>
      <c r="G129" s="48"/>
      <c r="H129" s="48"/>
      <c r="I129" s="53"/>
      <c r="J129" s="54"/>
      <c r="K129" s="55"/>
      <c r="L129" s="56"/>
      <c r="M129" s="57"/>
      <c r="N129" s="58"/>
      <c r="O129" s="59"/>
      <c r="P129" s="60"/>
      <c r="Q129" s="61"/>
      <c r="R129" s="62"/>
      <c r="S129" s="52"/>
      <c r="T129" s="48"/>
      <c r="U129" s="63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</row>
    <row r="130" ht="15.75" customHeight="1">
      <c r="E130" s="48"/>
      <c r="F130" s="52"/>
      <c r="G130" s="48"/>
      <c r="H130" s="48"/>
      <c r="I130" s="53"/>
      <c r="J130" s="54"/>
      <c r="K130" s="55"/>
      <c r="L130" s="56"/>
      <c r="M130" s="57"/>
      <c r="N130" s="58"/>
      <c r="O130" s="59"/>
      <c r="P130" s="60"/>
      <c r="Q130" s="61"/>
      <c r="R130" s="62"/>
      <c r="S130" s="52"/>
      <c r="T130" s="48"/>
      <c r="U130" s="63"/>
      <c r="X130" s="48"/>
      <c r="Y130" s="48"/>
      <c r="Z130" s="48"/>
      <c r="AA130" s="48"/>
      <c r="AB130" s="48"/>
      <c r="AC130" s="48"/>
      <c r="AD130" s="48"/>
      <c r="AE130" s="48"/>
      <c r="AF130" s="48"/>
      <c r="AG130" s="48"/>
      <c r="AH130" s="48"/>
    </row>
    <row r="131" ht="15.75" customHeight="1">
      <c r="E131" s="48"/>
      <c r="F131" s="52"/>
      <c r="G131" s="48"/>
      <c r="H131" s="48"/>
      <c r="I131" s="53"/>
      <c r="J131" s="54"/>
      <c r="K131" s="55"/>
      <c r="L131" s="56"/>
      <c r="M131" s="57"/>
      <c r="N131" s="58"/>
      <c r="O131" s="59"/>
      <c r="P131" s="60"/>
      <c r="Q131" s="61"/>
      <c r="R131" s="62"/>
      <c r="S131" s="52"/>
      <c r="T131" s="48"/>
      <c r="U131" s="63"/>
      <c r="X131" s="48"/>
      <c r="Y131" s="48"/>
      <c r="Z131" s="48"/>
      <c r="AA131" s="48"/>
      <c r="AB131" s="48"/>
      <c r="AC131" s="48"/>
      <c r="AD131" s="48"/>
      <c r="AE131" s="48"/>
      <c r="AF131" s="48"/>
      <c r="AG131" s="48"/>
      <c r="AH131" s="48"/>
    </row>
    <row r="132" ht="15.75" customHeight="1">
      <c r="E132" s="48"/>
      <c r="F132" s="52"/>
      <c r="G132" s="48"/>
      <c r="H132" s="48"/>
      <c r="I132" s="53"/>
      <c r="J132" s="54"/>
      <c r="K132" s="55"/>
      <c r="L132" s="56"/>
      <c r="M132" s="57"/>
      <c r="N132" s="58"/>
      <c r="O132" s="59"/>
      <c r="P132" s="60"/>
      <c r="Q132" s="61"/>
      <c r="R132" s="62"/>
      <c r="S132" s="52"/>
      <c r="T132" s="48"/>
      <c r="U132" s="63"/>
      <c r="X132" s="48"/>
      <c r="Y132" s="48"/>
      <c r="Z132" s="48"/>
      <c r="AA132" s="48"/>
      <c r="AB132" s="48"/>
      <c r="AC132" s="48"/>
      <c r="AD132" s="48"/>
      <c r="AE132" s="48"/>
      <c r="AF132" s="48"/>
      <c r="AG132" s="48"/>
      <c r="AH132" s="48"/>
    </row>
    <row r="133" ht="15.75" customHeight="1">
      <c r="E133" s="48"/>
      <c r="F133" s="52"/>
      <c r="G133" s="48"/>
      <c r="H133" s="48"/>
      <c r="I133" s="53"/>
      <c r="J133" s="54"/>
      <c r="K133" s="55"/>
      <c r="L133" s="56"/>
      <c r="M133" s="57"/>
      <c r="N133" s="58"/>
      <c r="O133" s="59"/>
      <c r="P133" s="60"/>
      <c r="Q133" s="61"/>
      <c r="R133" s="62"/>
      <c r="S133" s="52"/>
      <c r="T133" s="48"/>
      <c r="U133" s="63"/>
      <c r="X133" s="48"/>
      <c r="Y133" s="48"/>
      <c r="Z133" s="48"/>
      <c r="AA133" s="48"/>
      <c r="AB133" s="48"/>
      <c r="AC133" s="48"/>
      <c r="AD133" s="48"/>
      <c r="AE133" s="48"/>
      <c r="AF133" s="48"/>
      <c r="AG133" s="48"/>
      <c r="AH133" s="48"/>
    </row>
    <row r="134" ht="15.75" customHeight="1">
      <c r="E134" s="48"/>
      <c r="F134" s="52"/>
      <c r="G134" s="48"/>
      <c r="H134" s="48"/>
      <c r="I134" s="53"/>
      <c r="J134" s="54"/>
      <c r="K134" s="55"/>
      <c r="L134" s="56"/>
      <c r="M134" s="57"/>
      <c r="N134" s="58"/>
      <c r="O134" s="59"/>
      <c r="P134" s="60"/>
      <c r="Q134" s="61"/>
      <c r="R134" s="62"/>
      <c r="S134" s="52"/>
      <c r="T134" s="48"/>
      <c r="U134" s="63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</row>
    <row r="135" ht="15.75" customHeight="1">
      <c r="E135" s="48"/>
      <c r="F135" s="52"/>
      <c r="G135" s="48"/>
      <c r="H135" s="48"/>
      <c r="I135" s="53"/>
      <c r="J135" s="54"/>
      <c r="K135" s="55"/>
      <c r="L135" s="56"/>
      <c r="M135" s="57"/>
      <c r="N135" s="58"/>
      <c r="O135" s="59"/>
      <c r="P135" s="60"/>
      <c r="Q135" s="61"/>
      <c r="R135" s="62"/>
      <c r="S135" s="52"/>
      <c r="T135" s="48"/>
      <c r="U135" s="63"/>
      <c r="X135" s="48"/>
      <c r="Y135" s="48"/>
      <c r="Z135" s="48"/>
      <c r="AA135" s="48"/>
      <c r="AB135" s="48"/>
      <c r="AC135" s="48"/>
      <c r="AD135" s="48"/>
      <c r="AE135" s="48"/>
      <c r="AF135" s="48"/>
      <c r="AG135" s="48"/>
      <c r="AH135" s="48"/>
    </row>
    <row r="136" ht="15.75" customHeight="1">
      <c r="E136" s="48"/>
      <c r="F136" s="52"/>
      <c r="G136" s="48"/>
      <c r="H136" s="48"/>
      <c r="I136" s="53"/>
      <c r="J136" s="54"/>
      <c r="K136" s="55"/>
      <c r="L136" s="56"/>
      <c r="M136" s="57"/>
      <c r="N136" s="58"/>
      <c r="O136" s="59"/>
      <c r="P136" s="60"/>
      <c r="Q136" s="61"/>
      <c r="R136" s="62"/>
      <c r="S136" s="52"/>
      <c r="T136" s="48"/>
      <c r="U136" s="63"/>
      <c r="X136" s="48"/>
      <c r="Y136" s="48"/>
      <c r="Z136" s="48"/>
      <c r="AA136" s="48"/>
      <c r="AB136" s="48"/>
      <c r="AC136" s="48"/>
      <c r="AD136" s="48"/>
      <c r="AE136" s="48"/>
      <c r="AF136" s="48"/>
      <c r="AG136" s="48"/>
      <c r="AH136" s="48"/>
    </row>
    <row r="137" ht="15.75" customHeight="1">
      <c r="E137" s="48"/>
      <c r="F137" s="52"/>
      <c r="G137" s="48"/>
      <c r="H137" s="48"/>
      <c r="I137" s="53"/>
      <c r="J137" s="54"/>
      <c r="K137" s="55"/>
      <c r="L137" s="56"/>
      <c r="M137" s="57"/>
      <c r="N137" s="58"/>
      <c r="O137" s="59"/>
      <c r="P137" s="60"/>
      <c r="Q137" s="61"/>
      <c r="R137" s="62"/>
      <c r="S137" s="52"/>
      <c r="T137" s="48"/>
      <c r="U137" s="63"/>
      <c r="X137" s="48"/>
      <c r="Y137" s="48"/>
      <c r="Z137" s="48"/>
      <c r="AA137" s="48"/>
      <c r="AB137" s="48"/>
      <c r="AC137" s="48"/>
      <c r="AD137" s="48"/>
      <c r="AE137" s="48"/>
      <c r="AF137" s="48"/>
      <c r="AG137" s="48"/>
      <c r="AH137" s="48"/>
    </row>
    <row r="138" ht="15.75" customHeight="1">
      <c r="E138" s="48"/>
      <c r="F138" s="52"/>
      <c r="G138" s="48"/>
      <c r="H138" s="48"/>
      <c r="I138" s="53"/>
      <c r="J138" s="54"/>
      <c r="K138" s="55"/>
      <c r="L138" s="56"/>
      <c r="M138" s="57"/>
      <c r="N138" s="58"/>
      <c r="O138" s="59"/>
      <c r="P138" s="60"/>
      <c r="Q138" s="61"/>
      <c r="R138" s="62"/>
      <c r="S138" s="52"/>
      <c r="T138" s="48"/>
      <c r="U138" s="63"/>
      <c r="X138" s="48"/>
      <c r="Y138" s="48"/>
      <c r="Z138" s="48"/>
      <c r="AA138" s="48"/>
      <c r="AB138" s="48"/>
      <c r="AC138" s="48"/>
      <c r="AD138" s="48"/>
      <c r="AE138" s="48"/>
      <c r="AF138" s="48"/>
      <c r="AG138" s="48"/>
      <c r="AH138" s="48"/>
    </row>
    <row r="139" ht="15.75" customHeight="1">
      <c r="E139" s="48"/>
      <c r="F139" s="52"/>
      <c r="G139" s="48"/>
      <c r="H139" s="48"/>
      <c r="I139" s="53"/>
      <c r="J139" s="54"/>
      <c r="K139" s="55"/>
      <c r="L139" s="56"/>
      <c r="M139" s="57"/>
      <c r="N139" s="58"/>
      <c r="O139" s="59"/>
      <c r="P139" s="60"/>
      <c r="Q139" s="61"/>
      <c r="R139" s="62"/>
      <c r="S139" s="52"/>
      <c r="T139" s="48"/>
      <c r="U139" s="63"/>
      <c r="X139" s="48"/>
      <c r="Y139" s="48"/>
      <c r="Z139" s="48"/>
      <c r="AA139" s="48"/>
      <c r="AB139" s="48"/>
      <c r="AC139" s="48"/>
      <c r="AD139" s="48"/>
      <c r="AE139" s="48"/>
      <c r="AF139" s="48"/>
      <c r="AG139" s="48"/>
      <c r="AH139" s="48"/>
    </row>
    <row r="140" ht="15.75" customHeight="1">
      <c r="E140" s="48"/>
      <c r="F140" s="52"/>
      <c r="G140" s="48"/>
      <c r="H140" s="48"/>
      <c r="I140" s="53"/>
      <c r="J140" s="54"/>
      <c r="K140" s="55"/>
      <c r="L140" s="56"/>
      <c r="M140" s="57"/>
      <c r="N140" s="58"/>
      <c r="O140" s="59"/>
      <c r="P140" s="60"/>
      <c r="Q140" s="61"/>
      <c r="R140" s="62"/>
      <c r="S140" s="52"/>
      <c r="T140" s="48"/>
      <c r="U140" s="63"/>
      <c r="X140" s="48"/>
      <c r="Y140" s="48"/>
      <c r="Z140" s="48"/>
      <c r="AA140" s="48"/>
      <c r="AB140" s="48"/>
      <c r="AC140" s="48"/>
      <c r="AD140" s="48"/>
      <c r="AE140" s="48"/>
      <c r="AF140" s="48"/>
      <c r="AG140" s="48"/>
      <c r="AH140" s="48"/>
    </row>
    <row r="141" ht="15.75" customHeight="1">
      <c r="E141" s="48"/>
      <c r="F141" s="52"/>
      <c r="G141" s="48"/>
      <c r="H141" s="48"/>
      <c r="I141" s="53"/>
      <c r="J141" s="54"/>
      <c r="K141" s="55"/>
      <c r="L141" s="56"/>
      <c r="M141" s="57"/>
      <c r="N141" s="58"/>
      <c r="O141" s="59"/>
      <c r="P141" s="60"/>
      <c r="Q141" s="61"/>
      <c r="R141" s="62"/>
      <c r="S141" s="52"/>
      <c r="T141" s="48"/>
      <c r="U141" s="63"/>
      <c r="X141" s="48"/>
      <c r="Y141" s="48"/>
      <c r="Z141" s="48"/>
      <c r="AA141" s="48"/>
      <c r="AB141" s="48"/>
      <c r="AC141" s="48"/>
      <c r="AD141" s="48"/>
      <c r="AE141" s="48"/>
      <c r="AF141" s="48"/>
      <c r="AG141" s="48"/>
      <c r="AH141" s="48"/>
    </row>
    <row r="142" ht="15.75" customHeight="1">
      <c r="E142" s="48"/>
      <c r="F142" s="52"/>
      <c r="G142" s="48"/>
      <c r="H142" s="48"/>
      <c r="I142" s="53"/>
      <c r="J142" s="54"/>
      <c r="K142" s="55"/>
      <c r="L142" s="56"/>
      <c r="M142" s="57"/>
      <c r="N142" s="58"/>
      <c r="O142" s="59"/>
      <c r="P142" s="60"/>
      <c r="Q142" s="61"/>
      <c r="R142" s="62"/>
      <c r="S142" s="52"/>
      <c r="T142" s="48"/>
      <c r="U142" s="63"/>
      <c r="X142" s="48"/>
      <c r="Y142" s="48"/>
      <c r="Z142" s="48"/>
      <c r="AA142" s="48"/>
      <c r="AB142" s="48"/>
      <c r="AC142" s="48"/>
      <c r="AD142" s="48"/>
      <c r="AE142" s="48"/>
      <c r="AF142" s="48"/>
      <c r="AG142" s="48"/>
      <c r="AH142" s="48"/>
    </row>
    <row r="143" ht="15.75" customHeight="1">
      <c r="E143" s="48"/>
      <c r="F143" s="52"/>
      <c r="G143" s="48"/>
      <c r="H143" s="48"/>
      <c r="I143" s="53"/>
      <c r="J143" s="54"/>
      <c r="K143" s="55"/>
      <c r="L143" s="56"/>
      <c r="M143" s="57"/>
      <c r="N143" s="58"/>
      <c r="O143" s="59"/>
      <c r="P143" s="60"/>
      <c r="Q143" s="61"/>
      <c r="R143" s="62"/>
      <c r="S143" s="52"/>
      <c r="T143" s="48"/>
      <c r="U143" s="63"/>
      <c r="X143" s="48"/>
      <c r="Y143" s="48"/>
      <c r="Z143" s="48"/>
      <c r="AA143" s="48"/>
      <c r="AB143" s="48"/>
      <c r="AC143" s="48"/>
      <c r="AD143" s="48"/>
      <c r="AE143" s="48"/>
      <c r="AF143" s="48"/>
      <c r="AG143" s="48"/>
      <c r="AH143" s="48"/>
    </row>
    <row r="144" ht="15.75" customHeight="1">
      <c r="E144" s="48"/>
      <c r="F144" s="52"/>
      <c r="G144" s="48"/>
      <c r="H144" s="48"/>
      <c r="I144" s="53"/>
      <c r="J144" s="54"/>
      <c r="K144" s="55"/>
      <c r="L144" s="56"/>
      <c r="M144" s="57"/>
      <c r="N144" s="58"/>
      <c r="O144" s="59"/>
      <c r="P144" s="60"/>
      <c r="Q144" s="61"/>
      <c r="R144" s="62"/>
      <c r="S144" s="52"/>
      <c r="T144" s="48"/>
      <c r="U144" s="63"/>
      <c r="X144" s="48"/>
      <c r="Y144" s="48"/>
      <c r="Z144" s="48"/>
      <c r="AA144" s="48"/>
      <c r="AB144" s="48"/>
      <c r="AC144" s="48"/>
      <c r="AD144" s="48"/>
      <c r="AE144" s="48"/>
      <c r="AF144" s="48"/>
      <c r="AG144" s="48"/>
      <c r="AH144" s="48"/>
    </row>
    <row r="145" ht="15.75" customHeight="1">
      <c r="E145" s="48"/>
      <c r="F145" s="52"/>
      <c r="G145" s="48"/>
      <c r="H145" s="48"/>
      <c r="I145" s="53"/>
      <c r="J145" s="54"/>
      <c r="K145" s="55"/>
      <c r="L145" s="56"/>
      <c r="M145" s="57"/>
      <c r="N145" s="58"/>
      <c r="O145" s="59"/>
      <c r="P145" s="60"/>
      <c r="Q145" s="61"/>
      <c r="R145" s="62"/>
      <c r="S145" s="52"/>
      <c r="T145" s="48"/>
      <c r="U145" s="63"/>
      <c r="X145" s="48"/>
      <c r="Y145" s="48"/>
      <c r="Z145" s="48"/>
      <c r="AA145" s="48"/>
      <c r="AB145" s="48"/>
      <c r="AC145" s="48"/>
      <c r="AD145" s="48"/>
      <c r="AE145" s="48"/>
      <c r="AF145" s="48"/>
      <c r="AG145" s="48"/>
      <c r="AH145" s="48"/>
    </row>
    <row r="146" ht="15.75" customHeight="1">
      <c r="E146" s="48"/>
      <c r="F146" s="52"/>
      <c r="G146" s="48"/>
      <c r="H146" s="48"/>
      <c r="I146" s="53"/>
      <c r="J146" s="54"/>
      <c r="K146" s="55"/>
      <c r="L146" s="56"/>
      <c r="M146" s="57"/>
      <c r="N146" s="58"/>
      <c r="O146" s="59"/>
      <c r="P146" s="60"/>
      <c r="Q146" s="61"/>
      <c r="R146" s="62"/>
      <c r="S146" s="52"/>
      <c r="T146" s="48"/>
      <c r="U146" s="63"/>
      <c r="X146" s="48"/>
      <c r="Y146" s="48"/>
      <c r="Z146" s="48"/>
      <c r="AA146" s="48"/>
      <c r="AB146" s="48"/>
      <c r="AC146" s="48"/>
      <c r="AD146" s="48"/>
      <c r="AE146" s="48"/>
      <c r="AF146" s="48"/>
      <c r="AG146" s="48"/>
      <c r="AH146" s="48"/>
    </row>
    <row r="147" ht="15.75" customHeight="1">
      <c r="E147" s="48"/>
      <c r="F147" s="52"/>
      <c r="G147" s="48"/>
      <c r="H147" s="48"/>
      <c r="I147" s="53"/>
      <c r="J147" s="54"/>
      <c r="K147" s="55"/>
      <c r="L147" s="56"/>
      <c r="M147" s="57"/>
      <c r="N147" s="58"/>
      <c r="O147" s="59"/>
      <c r="P147" s="60"/>
      <c r="Q147" s="61"/>
      <c r="R147" s="62"/>
      <c r="S147" s="52"/>
      <c r="T147" s="48"/>
      <c r="U147" s="63"/>
      <c r="X147" s="48"/>
      <c r="Y147" s="48"/>
      <c r="Z147" s="48"/>
      <c r="AA147" s="48"/>
      <c r="AB147" s="48"/>
      <c r="AC147" s="48"/>
      <c r="AD147" s="48"/>
      <c r="AE147" s="48"/>
      <c r="AF147" s="48"/>
      <c r="AG147" s="48"/>
      <c r="AH147" s="48"/>
    </row>
    <row r="148" ht="15.75" customHeight="1">
      <c r="E148" s="48"/>
      <c r="F148" s="52"/>
      <c r="G148" s="48"/>
      <c r="H148" s="48"/>
      <c r="I148" s="53"/>
      <c r="J148" s="54"/>
      <c r="K148" s="55"/>
      <c r="L148" s="56"/>
      <c r="M148" s="57"/>
      <c r="N148" s="58"/>
      <c r="O148" s="59"/>
      <c r="P148" s="60"/>
      <c r="Q148" s="61"/>
      <c r="R148" s="62"/>
      <c r="S148" s="52"/>
      <c r="T148" s="48"/>
      <c r="U148" s="63"/>
      <c r="X148" s="48"/>
      <c r="Y148" s="48"/>
      <c r="Z148" s="48"/>
      <c r="AA148" s="48"/>
      <c r="AB148" s="48"/>
      <c r="AC148" s="48"/>
      <c r="AD148" s="48"/>
      <c r="AE148" s="48"/>
      <c r="AF148" s="48"/>
      <c r="AG148" s="48"/>
      <c r="AH148" s="48"/>
    </row>
    <row r="149" ht="15.75" customHeight="1">
      <c r="E149" s="48"/>
      <c r="F149" s="52"/>
      <c r="G149" s="48"/>
      <c r="H149" s="48"/>
      <c r="I149" s="53"/>
      <c r="J149" s="54"/>
      <c r="K149" s="55"/>
      <c r="L149" s="56"/>
      <c r="M149" s="57"/>
      <c r="N149" s="58"/>
      <c r="O149" s="59"/>
      <c r="P149" s="60"/>
      <c r="Q149" s="61"/>
      <c r="R149" s="62"/>
      <c r="S149" s="52"/>
      <c r="T149" s="48"/>
      <c r="U149" s="63"/>
      <c r="X149" s="48"/>
      <c r="Y149" s="48"/>
      <c r="Z149" s="48"/>
      <c r="AA149" s="48"/>
      <c r="AB149" s="48"/>
      <c r="AC149" s="48"/>
      <c r="AD149" s="48"/>
      <c r="AE149" s="48"/>
      <c r="AF149" s="48"/>
      <c r="AG149" s="48"/>
      <c r="AH149" s="48"/>
    </row>
    <row r="150" ht="15.75" customHeight="1">
      <c r="E150" s="48"/>
      <c r="F150" s="52"/>
      <c r="G150" s="48"/>
      <c r="H150" s="48"/>
      <c r="I150" s="53"/>
      <c r="J150" s="54"/>
      <c r="K150" s="55"/>
      <c r="L150" s="56"/>
      <c r="M150" s="57"/>
      <c r="N150" s="58"/>
      <c r="O150" s="59"/>
      <c r="P150" s="60"/>
      <c r="Q150" s="61"/>
      <c r="R150" s="62"/>
      <c r="S150" s="52"/>
      <c r="T150" s="48"/>
      <c r="U150" s="63"/>
      <c r="X150" s="48"/>
      <c r="Y150" s="48"/>
      <c r="Z150" s="48"/>
      <c r="AA150" s="48"/>
      <c r="AB150" s="48"/>
      <c r="AC150" s="48"/>
      <c r="AD150" s="48"/>
      <c r="AE150" s="48"/>
      <c r="AF150" s="48"/>
      <c r="AG150" s="48"/>
      <c r="AH150" s="48"/>
    </row>
    <row r="151" ht="15.75" customHeight="1">
      <c r="E151" s="48"/>
      <c r="F151" s="52"/>
      <c r="G151" s="48"/>
      <c r="H151" s="48"/>
      <c r="I151" s="53"/>
      <c r="J151" s="54"/>
      <c r="K151" s="55"/>
      <c r="L151" s="56"/>
      <c r="M151" s="57"/>
      <c r="N151" s="58"/>
      <c r="O151" s="59"/>
      <c r="P151" s="60"/>
      <c r="Q151" s="61"/>
      <c r="R151" s="62"/>
      <c r="S151" s="52"/>
      <c r="T151" s="48"/>
      <c r="U151" s="63"/>
      <c r="X151" s="48"/>
      <c r="Y151" s="48"/>
      <c r="Z151" s="48"/>
      <c r="AA151" s="48"/>
      <c r="AB151" s="48"/>
      <c r="AC151" s="48"/>
      <c r="AD151" s="48"/>
      <c r="AE151" s="48"/>
      <c r="AF151" s="48"/>
      <c r="AG151" s="48"/>
      <c r="AH151" s="48"/>
    </row>
    <row r="152" ht="15.75" customHeight="1">
      <c r="E152" s="48"/>
      <c r="F152" s="52"/>
      <c r="G152" s="48"/>
      <c r="H152" s="48"/>
      <c r="I152" s="53"/>
      <c r="J152" s="54"/>
      <c r="K152" s="55"/>
      <c r="L152" s="56"/>
      <c r="M152" s="57"/>
      <c r="N152" s="58"/>
      <c r="O152" s="59"/>
      <c r="P152" s="60"/>
      <c r="Q152" s="61"/>
      <c r="R152" s="62"/>
      <c r="S152" s="52"/>
      <c r="T152" s="48"/>
      <c r="U152" s="63"/>
      <c r="X152" s="48"/>
      <c r="Y152" s="48"/>
      <c r="Z152" s="48"/>
      <c r="AA152" s="48"/>
      <c r="AB152" s="48"/>
      <c r="AC152" s="48"/>
      <c r="AD152" s="48"/>
      <c r="AE152" s="48"/>
      <c r="AF152" s="48"/>
      <c r="AG152" s="48"/>
      <c r="AH152" s="48"/>
    </row>
    <row r="153" ht="15.75" customHeight="1">
      <c r="E153" s="48"/>
      <c r="F153" s="52"/>
      <c r="G153" s="48"/>
      <c r="H153" s="48"/>
      <c r="I153" s="53"/>
      <c r="J153" s="54"/>
      <c r="K153" s="55"/>
      <c r="L153" s="56"/>
      <c r="M153" s="57"/>
      <c r="N153" s="58"/>
      <c r="O153" s="59"/>
      <c r="P153" s="60"/>
      <c r="Q153" s="61"/>
      <c r="R153" s="62"/>
      <c r="S153" s="52"/>
      <c r="T153" s="48"/>
      <c r="U153" s="63"/>
      <c r="X153" s="48"/>
      <c r="Y153" s="48"/>
      <c r="Z153" s="48"/>
      <c r="AA153" s="48"/>
      <c r="AB153" s="48"/>
      <c r="AC153" s="48"/>
      <c r="AD153" s="48"/>
      <c r="AE153" s="48"/>
      <c r="AF153" s="48"/>
      <c r="AG153" s="48"/>
      <c r="AH153" s="48"/>
    </row>
    <row r="154" ht="15.75" customHeight="1">
      <c r="E154" s="48"/>
      <c r="F154" s="52"/>
      <c r="G154" s="48"/>
      <c r="H154" s="48"/>
      <c r="I154" s="53"/>
      <c r="J154" s="54"/>
      <c r="K154" s="55"/>
      <c r="L154" s="56"/>
      <c r="M154" s="57"/>
      <c r="N154" s="58"/>
      <c r="O154" s="59"/>
      <c r="P154" s="60"/>
      <c r="Q154" s="61"/>
      <c r="R154" s="62"/>
      <c r="S154" s="52"/>
      <c r="T154" s="48"/>
      <c r="U154" s="63"/>
      <c r="X154" s="48"/>
      <c r="Y154" s="48"/>
      <c r="Z154" s="48"/>
      <c r="AA154" s="48"/>
      <c r="AB154" s="48"/>
      <c r="AC154" s="48"/>
      <c r="AD154" s="48"/>
      <c r="AE154" s="48"/>
      <c r="AF154" s="48"/>
      <c r="AG154" s="48"/>
      <c r="AH154" s="48"/>
    </row>
    <row r="155" ht="15.75" customHeight="1">
      <c r="E155" s="48"/>
      <c r="F155" s="52"/>
      <c r="G155" s="48"/>
      <c r="H155" s="48"/>
      <c r="I155" s="53"/>
      <c r="J155" s="54"/>
      <c r="K155" s="55"/>
      <c r="L155" s="56"/>
      <c r="M155" s="57"/>
      <c r="N155" s="58"/>
      <c r="O155" s="59"/>
      <c r="P155" s="60"/>
      <c r="Q155" s="61"/>
      <c r="R155" s="62"/>
      <c r="S155" s="52"/>
      <c r="T155" s="48"/>
      <c r="U155" s="63"/>
      <c r="X155" s="48"/>
      <c r="Y155" s="48"/>
      <c r="Z155" s="48"/>
      <c r="AA155" s="48"/>
      <c r="AB155" s="48"/>
      <c r="AC155" s="48"/>
      <c r="AD155" s="48"/>
      <c r="AE155" s="48"/>
      <c r="AF155" s="48"/>
      <c r="AG155" s="48"/>
      <c r="AH155" s="48"/>
    </row>
    <row r="156" ht="15.75" customHeight="1">
      <c r="E156" s="48"/>
      <c r="F156" s="52"/>
      <c r="G156" s="48"/>
      <c r="H156" s="48"/>
      <c r="I156" s="53"/>
      <c r="J156" s="54"/>
      <c r="K156" s="55"/>
      <c r="L156" s="56"/>
      <c r="M156" s="57"/>
      <c r="N156" s="58"/>
      <c r="O156" s="59"/>
      <c r="P156" s="60"/>
      <c r="Q156" s="61"/>
      <c r="R156" s="62"/>
      <c r="S156" s="52"/>
      <c r="T156" s="48"/>
      <c r="U156" s="63"/>
      <c r="X156" s="48"/>
      <c r="Y156" s="48"/>
      <c r="Z156" s="48"/>
      <c r="AA156" s="48"/>
      <c r="AB156" s="48"/>
      <c r="AC156" s="48"/>
      <c r="AD156" s="48"/>
      <c r="AE156" s="48"/>
      <c r="AF156" s="48"/>
      <c r="AG156" s="48"/>
      <c r="AH156" s="48"/>
    </row>
    <row r="157" ht="15.75" customHeight="1">
      <c r="E157" s="48"/>
      <c r="F157" s="52"/>
      <c r="G157" s="48"/>
      <c r="H157" s="48"/>
      <c r="I157" s="53"/>
      <c r="J157" s="54"/>
      <c r="K157" s="55"/>
      <c r="L157" s="56"/>
      <c r="M157" s="57"/>
      <c r="N157" s="58"/>
      <c r="O157" s="59"/>
      <c r="P157" s="60"/>
      <c r="Q157" s="61"/>
      <c r="R157" s="62"/>
      <c r="S157" s="52"/>
      <c r="T157" s="48"/>
      <c r="U157" s="63"/>
      <c r="X157" s="48"/>
      <c r="Y157" s="48"/>
      <c r="Z157" s="48"/>
      <c r="AA157" s="48"/>
      <c r="AB157" s="48"/>
      <c r="AC157" s="48"/>
      <c r="AD157" s="48"/>
      <c r="AE157" s="48"/>
      <c r="AF157" s="48"/>
      <c r="AG157" s="48"/>
      <c r="AH157" s="48"/>
    </row>
    <row r="158" ht="15.75" customHeight="1">
      <c r="E158" s="48"/>
      <c r="F158" s="52"/>
      <c r="G158" s="48"/>
      <c r="H158" s="48"/>
      <c r="I158" s="53"/>
      <c r="J158" s="54"/>
      <c r="K158" s="55"/>
      <c r="L158" s="56"/>
      <c r="M158" s="57"/>
      <c r="N158" s="58"/>
      <c r="O158" s="59"/>
      <c r="P158" s="60"/>
      <c r="Q158" s="61"/>
      <c r="R158" s="62"/>
      <c r="S158" s="52"/>
      <c r="T158" s="48"/>
      <c r="U158" s="63"/>
      <c r="X158" s="48"/>
      <c r="Y158" s="48"/>
      <c r="Z158" s="48"/>
      <c r="AA158" s="48"/>
      <c r="AB158" s="48"/>
      <c r="AC158" s="48"/>
      <c r="AD158" s="48"/>
      <c r="AE158" s="48"/>
      <c r="AF158" s="48"/>
      <c r="AG158" s="48"/>
      <c r="AH158" s="48"/>
    </row>
    <row r="159" ht="15.75" customHeight="1">
      <c r="E159" s="48"/>
      <c r="F159" s="52"/>
      <c r="G159" s="48"/>
      <c r="H159" s="48"/>
      <c r="I159" s="53"/>
      <c r="J159" s="54"/>
      <c r="K159" s="55"/>
      <c r="L159" s="56"/>
      <c r="M159" s="57"/>
      <c r="N159" s="58"/>
      <c r="O159" s="59"/>
      <c r="P159" s="60"/>
      <c r="Q159" s="61"/>
      <c r="R159" s="62"/>
      <c r="S159" s="52"/>
      <c r="T159" s="48"/>
      <c r="U159" s="63"/>
      <c r="X159" s="48"/>
      <c r="Y159" s="48"/>
      <c r="Z159" s="48"/>
      <c r="AA159" s="48"/>
      <c r="AB159" s="48"/>
      <c r="AC159" s="48"/>
      <c r="AD159" s="48"/>
      <c r="AE159" s="48"/>
      <c r="AF159" s="48"/>
      <c r="AG159" s="48"/>
      <c r="AH159" s="48"/>
    </row>
    <row r="160" ht="15.75" customHeight="1">
      <c r="E160" s="48"/>
      <c r="F160" s="52"/>
      <c r="G160" s="48"/>
      <c r="H160" s="48"/>
      <c r="I160" s="53"/>
      <c r="J160" s="54"/>
      <c r="K160" s="55"/>
      <c r="L160" s="56"/>
      <c r="M160" s="57"/>
      <c r="N160" s="58"/>
      <c r="O160" s="59"/>
      <c r="P160" s="60"/>
      <c r="Q160" s="61"/>
      <c r="R160" s="62"/>
      <c r="S160" s="52"/>
      <c r="T160" s="48"/>
      <c r="U160" s="63"/>
      <c r="X160" s="48"/>
      <c r="Y160" s="48"/>
      <c r="Z160" s="48"/>
      <c r="AA160" s="48"/>
      <c r="AB160" s="48"/>
      <c r="AC160" s="48"/>
      <c r="AD160" s="48"/>
      <c r="AE160" s="48"/>
      <c r="AF160" s="48"/>
      <c r="AG160" s="48"/>
      <c r="AH160" s="48"/>
    </row>
    <row r="161" ht="15.75" customHeight="1">
      <c r="E161" s="48"/>
      <c r="F161" s="52"/>
      <c r="G161" s="48"/>
      <c r="H161" s="48"/>
      <c r="I161" s="53"/>
      <c r="J161" s="54"/>
      <c r="K161" s="55"/>
      <c r="L161" s="56"/>
      <c r="M161" s="57"/>
      <c r="N161" s="58"/>
      <c r="O161" s="59"/>
      <c r="P161" s="60"/>
      <c r="Q161" s="61"/>
      <c r="R161" s="62"/>
      <c r="S161" s="52"/>
      <c r="T161" s="48"/>
      <c r="U161" s="63"/>
      <c r="X161" s="48"/>
      <c r="Y161" s="48"/>
      <c r="Z161" s="48"/>
      <c r="AA161" s="48"/>
      <c r="AB161" s="48"/>
      <c r="AC161" s="48"/>
      <c r="AD161" s="48"/>
      <c r="AE161" s="48"/>
      <c r="AF161" s="48"/>
      <c r="AG161" s="48"/>
      <c r="AH161" s="48"/>
    </row>
    <row r="162" ht="15.75" customHeight="1">
      <c r="E162" s="48"/>
      <c r="F162" s="52"/>
      <c r="G162" s="48"/>
      <c r="H162" s="48"/>
      <c r="I162" s="53"/>
      <c r="J162" s="54"/>
      <c r="K162" s="55"/>
      <c r="L162" s="56"/>
      <c r="M162" s="57"/>
      <c r="N162" s="58"/>
      <c r="O162" s="59"/>
      <c r="P162" s="60"/>
      <c r="Q162" s="61"/>
      <c r="R162" s="62"/>
      <c r="S162" s="52"/>
      <c r="T162" s="48"/>
      <c r="U162" s="63"/>
      <c r="X162" s="48"/>
      <c r="Y162" s="48"/>
      <c r="Z162" s="48"/>
      <c r="AA162" s="48"/>
      <c r="AB162" s="48"/>
      <c r="AC162" s="48"/>
      <c r="AD162" s="48"/>
      <c r="AE162" s="48"/>
      <c r="AF162" s="48"/>
      <c r="AG162" s="48"/>
      <c r="AH162" s="48"/>
    </row>
    <row r="163" ht="15.75" customHeight="1">
      <c r="E163" s="48"/>
      <c r="F163" s="52"/>
      <c r="G163" s="48"/>
      <c r="H163" s="48"/>
      <c r="I163" s="53"/>
      <c r="J163" s="54"/>
      <c r="K163" s="55"/>
      <c r="L163" s="56"/>
      <c r="M163" s="57"/>
      <c r="N163" s="58"/>
      <c r="O163" s="59"/>
      <c r="P163" s="60"/>
      <c r="Q163" s="61"/>
      <c r="R163" s="62"/>
      <c r="S163" s="52"/>
      <c r="T163" s="48"/>
      <c r="U163" s="63"/>
      <c r="X163" s="48"/>
      <c r="Y163" s="48"/>
      <c r="Z163" s="48"/>
      <c r="AA163" s="48"/>
      <c r="AB163" s="48"/>
      <c r="AC163" s="48"/>
      <c r="AD163" s="48"/>
      <c r="AE163" s="48"/>
      <c r="AF163" s="48"/>
      <c r="AG163" s="48"/>
      <c r="AH163" s="48"/>
    </row>
    <row r="164" ht="15.75" customHeight="1">
      <c r="E164" s="48"/>
      <c r="F164" s="52"/>
      <c r="G164" s="48"/>
      <c r="H164" s="48"/>
      <c r="I164" s="53"/>
      <c r="J164" s="54"/>
      <c r="K164" s="55"/>
      <c r="L164" s="56"/>
      <c r="M164" s="57"/>
      <c r="N164" s="58"/>
      <c r="O164" s="59"/>
      <c r="P164" s="60"/>
      <c r="Q164" s="61"/>
      <c r="R164" s="62"/>
      <c r="S164" s="52"/>
      <c r="T164" s="48"/>
      <c r="U164" s="63"/>
      <c r="X164" s="48"/>
      <c r="Y164" s="48"/>
      <c r="Z164" s="48"/>
      <c r="AA164" s="48"/>
      <c r="AB164" s="48"/>
      <c r="AC164" s="48"/>
      <c r="AD164" s="48"/>
      <c r="AE164" s="48"/>
      <c r="AF164" s="48"/>
      <c r="AG164" s="48"/>
      <c r="AH164" s="48"/>
    </row>
    <row r="165" ht="15.75" customHeight="1">
      <c r="E165" s="48"/>
      <c r="F165" s="52"/>
      <c r="G165" s="48"/>
      <c r="H165" s="48"/>
      <c r="I165" s="53"/>
      <c r="J165" s="54"/>
      <c r="K165" s="55"/>
      <c r="L165" s="56"/>
      <c r="M165" s="57"/>
      <c r="N165" s="58"/>
      <c r="O165" s="59"/>
      <c r="P165" s="60"/>
      <c r="Q165" s="61"/>
      <c r="R165" s="62"/>
      <c r="S165" s="52"/>
      <c r="T165" s="48"/>
      <c r="U165" s="63"/>
      <c r="X165" s="48"/>
      <c r="Y165" s="48"/>
      <c r="Z165" s="48"/>
      <c r="AA165" s="48"/>
      <c r="AB165" s="48"/>
      <c r="AC165" s="48"/>
      <c r="AD165" s="48"/>
      <c r="AE165" s="48"/>
      <c r="AF165" s="48"/>
      <c r="AG165" s="48"/>
      <c r="AH165" s="48"/>
    </row>
    <row r="166" ht="15.75" customHeight="1">
      <c r="E166" s="48"/>
      <c r="F166" s="52"/>
      <c r="G166" s="48"/>
      <c r="H166" s="48"/>
      <c r="I166" s="53"/>
      <c r="J166" s="54"/>
      <c r="K166" s="55"/>
      <c r="L166" s="56"/>
      <c r="M166" s="57"/>
      <c r="N166" s="58"/>
      <c r="O166" s="59"/>
      <c r="P166" s="60"/>
      <c r="Q166" s="61"/>
      <c r="R166" s="62"/>
      <c r="S166" s="52"/>
      <c r="T166" s="48"/>
      <c r="U166" s="63"/>
      <c r="X166" s="48"/>
      <c r="Y166" s="48"/>
      <c r="Z166" s="48"/>
      <c r="AA166" s="48"/>
      <c r="AB166" s="48"/>
      <c r="AC166" s="48"/>
      <c r="AD166" s="48"/>
      <c r="AE166" s="48"/>
      <c r="AF166" s="48"/>
      <c r="AG166" s="48"/>
      <c r="AH166" s="48"/>
    </row>
    <row r="167" ht="15.75" customHeight="1">
      <c r="E167" s="48"/>
      <c r="F167" s="52"/>
      <c r="G167" s="48"/>
      <c r="H167" s="48"/>
      <c r="I167" s="53"/>
      <c r="J167" s="54"/>
      <c r="K167" s="55"/>
      <c r="L167" s="56"/>
      <c r="M167" s="57"/>
      <c r="N167" s="58"/>
      <c r="O167" s="59"/>
      <c r="P167" s="60"/>
      <c r="Q167" s="61"/>
      <c r="R167" s="62"/>
      <c r="S167" s="52"/>
      <c r="T167" s="48"/>
      <c r="U167" s="63"/>
      <c r="X167" s="48"/>
      <c r="Y167" s="48"/>
      <c r="Z167" s="48"/>
      <c r="AA167" s="48"/>
      <c r="AB167" s="48"/>
      <c r="AC167" s="48"/>
      <c r="AD167" s="48"/>
      <c r="AE167" s="48"/>
      <c r="AF167" s="48"/>
      <c r="AG167" s="48"/>
      <c r="AH167" s="48"/>
    </row>
    <row r="168" ht="15.75" customHeight="1">
      <c r="E168" s="48"/>
      <c r="F168" s="52"/>
      <c r="G168" s="48"/>
      <c r="H168" s="48"/>
      <c r="I168" s="53"/>
      <c r="J168" s="54"/>
      <c r="K168" s="55"/>
      <c r="L168" s="56"/>
      <c r="M168" s="57"/>
      <c r="N168" s="58"/>
      <c r="O168" s="59"/>
      <c r="P168" s="60"/>
      <c r="Q168" s="61"/>
      <c r="R168" s="62"/>
      <c r="S168" s="52"/>
      <c r="T168" s="48"/>
      <c r="U168" s="63"/>
      <c r="X168" s="48"/>
      <c r="Y168" s="48"/>
      <c r="Z168" s="48"/>
      <c r="AA168" s="48"/>
      <c r="AB168" s="48"/>
      <c r="AC168" s="48"/>
      <c r="AD168" s="48"/>
      <c r="AE168" s="48"/>
      <c r="AF168" s="48"/>
      <c r="AG168" s="48"/>
      <c r="AH168" s="48"/>
    </row>
    <row r="169" ht="15.75" customHeight="1">
      <c r="E169" s="48"/>
      <c r="F169" s="52"/>
      <c r="G169" s="48"/>
      <c r="H169" s="48"/>
      <c r="I169" s="53"/>
      <c r="J169" s="54"/>
      <c r="K169" s="55"/>
      <c r="L169" s="56"/>
      <c r="M169" s="57"/>
      <c r="N169" s="58"/>
      <c r="O169" s="59"/>
      <c r="P169" s="60"/>
      <c r="Q169" s="61"/>
      <c r="R169" s="62"/>
      <c r="S169" s="52"/>
      <c r="T169" s="48"/>
      <c r="U169" s="63"/>
      <c r="X169" s="48"/>
      <c r="Y169" s="48"/>
      <c r="Z169" s="48"/>
      <c r="AA169" s="48"/>
      <c r="AB169" s="48"/>
      <c r="AC169" s="48"/>
      <c r="AD169" s="48"/>
      <c r="AE169" s="48"/>
      <c r="AF169" s="48"/>
      <c r="AG169" s="48"/>
      <c r="AH169" s="48"/>
    </row>
    <row r="170" ht="15.75" customHeight="1">
      <c r="E170" s="48"/>
      <c r="F170" s="52"/>
      <c r="G170" s="48"/>
      <c r="H170" s="48"/>
      <c r="I170" s="53"/>
      <c r="J170" s="54"/>
      <c r="K170" s="55"/>
      <c r="L170" s="56"/>
      <c r="M170" s="57"/>
      <c r="N170" s="58"/>
      <c r="O170" s="59"/>
      <c r="P170" s="60"/>
      <c r="Q170" s="61"/>
      <c r="R170" s="62"/>
      <c r="S170" s="52"/>
      <c r="T170" s="48"/>
      <c r="U170" s="63"/>
      <c r="X170" s="48"/>
      <c r="Y170" s="48"/>
      <c r="Z170" s="48"/>
      <c r="AA170" s="48"/>
      <c r="AB170" s="48"/>
      <c r="AC170" s="48"/>
      <c r="AD170" s="48"/>
      <c r="AE170" s="48"/>
      <c r="AF170" s="48"/>
      <c r="AG170" s="48"/>
      <c r="AH170" s="48"/>
    </row>
    <row r="171" ht="15.75" customHeight="1">
      <c r="E171" s="48"/>
      <c r="F171" s="52"/>
      <c r="G171" s="48"/>
      <c r="H171" s="48"/>
      <c r="I171" s="53"/>
      <c r="J171" s="54"/>
      <c r="K171" s="55"/>
      <c r="L171" s="56"/>
      <c r="M171" s="57"/>
      <c r="N171" s="58"/>
      <c r="O171" s="59"/>
      <c r="P171" s="60"/>
      <c r="Q171" s="61"/>
      <c r="R171" s="62"/>
      <c r="S171" s="52"/>
      <c r="T171" s="48"/>
      <c r="U171" s="63"/>
      <c r="X171" s="48"/>
      <c r="Y171" s="48"/>
      <c r="Z171" s="48"/>
      <c r="AA171" s="48"/>
      <c r="AB171" s="48"/>
      <c r="AC171" s="48"/>
      <c r="AD171" s="48"/>
      <c r="AE171" s="48"/>
      <c r="AF171" s="48"/>
      <c r="AG171" s="48"/>
      <c r="AH171" s="48"/>
    </row>
    <row r="172" ht="15.75" customHeight="1">
      <c r="E172" s="48"/>
      <c r="F172" s="52"/>
      <c r="G172" s="48"/>
      <c r="H172" s="48"/>
      <c r="I172" s="53"/>
      <c r="J172" s="54"/>
      <c r="K172" s="55"/>
      <c r="L172" s="56"/>
      <c r="M172" s="57"/>
      <c r="N172" s="58"/>
      <c r="O172" s="59"/>
      <c r="P172" s="60"/>
      <c r="Q172" s="61"/>
      <c r="R172" s="62"/>
      <c r="S172" s="52"/>
      <c r="T172" s="48"/>
      <c r="U172" s="63"/>
      <c r="X172" s="48"/>
      <c r="Y172" s="48"/>
      <c r="Z172" s="48"/>
      <c r="AA172" s="48"/>
      <c r="AB172" s="48"/>
      <c r="AC172" s="48"/>
      <c r="AD172" s="48"/>
      <c r="AE172" s="48"/>
      <c r="AF172" s="48"/>
      <c r="AG172" s="48"/>
      <c r="AH172" s="48"/>
    </row>
    <row r="173" ht="15.75" customHeight="1">
      <c r="E173" s="48"/>
      <c r="F173" s="52"/>
      <c r="G173" s="48"/>
      <c r="H173" s="48"/>
      <c r="I173" s="53"/>
      <c r="J173" s="54"/>
      <c r="K173" s="55"/>
      <c r="L173" s="56"/>
      <c r="M173" s="57"/>
      <c r="N173" s="58"/>
      <c r="O173" s="59"/>
      <c r="P173" s="60"/>
      <c r="Q173" s="61"/>
      <c r="R173" s="62"/>
      <c r="S173" s="52"/>
      <c r="T173" s="48"/>
      <c r="U173" s="63"/>
      <c r="X173" s="48"/>
      <c r="Y173" s="48"/>
      <c r="Z173" s="48"/>
      <c r="AA173" s="48"/>
      <c r="AB173" s="48"/>
      <c r="AC173" s="48"/>
      <c r="AD173" s="48"/>
      <c r="AE173" s="48"/>
      <c r="AF173" s="48"/>
      <c r="AG173" s="48"/>
      <c r="AH173" s="48"/>
    </row>
    <row r="174" ht="15.75" customHeight="1">
      <c r="E174" s="48"/>
      <c r="F174" s="52"/>
      <c r="G174" s="48"/>
      <c r="H174" s="48"/>
      <c r="I174" s="53"/>
      <c r="J174" s="54"/>
      <c r="K174" s="55"/>
      <c r="L174" s="56"/>
      <c r="M174" s="57"/>
      <c r="N174" s="58"/>
      <c r="O174" s="59"/>
      <c r="P174" s="60"/>
      <c r="Q174" s="61"/>
      <c r="R174" s="62"/>
      <c r="S174" s="52"/>
      <c r="T174" s="48"/>
      <c r="U174" s="63"/>
      <c r="X174" s="48"/>
      <c r="Y174" s="48"/>
      <c r="Z174" s="48"/>
      <c r="AA174" s="48"/>
      <c r="AB174" s="48"/>
      <c r="AC174" s="48"/>
      <c r="AD174" s="48"/>
      <c r="AE174" s="48"/>
      <c r="AF174" s="48"/>
      <c r="AG174" s="48"/>
      <c r="AH174" s="48"/>
    </row>
    <row r="175" ht="15.75" customHeight="1">
      <c r="E175" s="48"/>
      <c r="F175" s="52"/>
      <c r="G175" s="48"/>
      <c r="H175" s="48"/>
      <c r="I175" s="53"/>
      <c r="J175" s="54"/>
      <c r="K175" s="55"/>
      <c r="L175" s="56"/>
      <c r="M175" s="57"/>
      <c r="N175" s="58"/>
      <c r="O175" s="59"/>
      <c r="P175" s="60"/>
      <c r="Q175" s="61"/>
      <c r="R175" s="62"/>
      <c r="S175" s="52"/>
      <c r="T175" s="48"/>
      <c r="U175" s="63"/>
      <c r="X175" s="48"/>
      <c r="Y175" s="48"/>
      <c r="Z175" s="48"/>
      <c r="AA175" s="48"/>
      <c r="AB175" s="48"/>
      <c r="AC175" s="48"/>
      <c r="AD175" s="48"/>
      <c r="AE175" s="48"/>
      <c r="AF175" s="48"/>
      <c r="AG175" s="48"/>
      <c r="AH175" s="48"/>
    </row>
    <row r="176" ht="15.75" customHeight="1">
      <c r="E176" s="48"/>
      <c r="F176" s="52"/>
      <c r="G176" s="48"/>
      <c r="H176" s="48"/>
      <c r="I176" s="53"/>
      <c r="J176" s="54"/>
      <c r="K176" s="55"/>
      <c r="L176" s="56"/>
      <c r="M176" s="57"/>
      <c r="N176" s="58"/>
      <c r="O176" s="59"/>
      <c r="P176" s="60"/>
      <c r="Q176" s="61"/>
      <c r="R176" s="62"/>
      <c r="S176" s="52"/>
      <c r="T176" s="48"/>
      <c r="U176" s="63"/>
      <c r="X176" s="48"/>
      <c r="Y176" s="48"/>
      <c r="Z176" s="48"/>
      <c r="AA176" s="48"/>
      <c r="AB176" s="48"/>
      <c r="AC176" s="48"/>
      <c r="AD176" s="48"/>
      <c r="AE176" s="48"/>
      <c r="AF176" s="48"/>
      <c r="AG176" s="48"/>
      <c r="AH176" s="48"/>
    </row>
    <row r="177" ht="15.75" customHeight="1">
      <c r="E177" s="48"/>
      <c r="F177" s="52"/>
      <c r="G177" s="48"/>
      <c r="H177" s="48"/>
      <c r="I177" s="53"/>
      <c r="J177" s="54"/>
      <c r="K177" s="55"/>
      <c r="L177" s="56"/>
      <c r="M177" s="57"/>
      <c r="N177" s="58"/>
      <c r="O177" s="59"/>
      <c r="P177" s="60"/>
      <c r="Q177" s="61"/>
      <c r="R177" s="62"/>
      <c r="S177" s="52"/>
      <c r="T177" s="48"/>
      <c r="U177" s="63"/>
      <c r="X177" s="48"/>
      <c r="Y177" s="48"/>
      <c r="Z177" s="48"/>
      <c r="AA177" s="48"/>
      <c r="AB177" s="48"/>
      <c r="AC177" s="48"/>
      <c r="AD177" s="48"/>
      <c r="AE177" s="48"/>
      <c r="AF177" s="48"/>
      <c r="AG177" s="48"/>
      <c r="AH177" s="48"/>
    </row>
    <row r="178" ht="15.75" customHeight="1">
      <c r="E178" s="48"/>
      <c r="F178" s="52"/>
      <c r="G178" s="48"/>
      <c r="H178" s="48"/>
      <c r="I178" s="53"/>
      <c r="J178" s="54"/>
      <c r="K178" s="55"/>
      <c r="L178" s="56"/>
      <c r="M178" s="57"/>
      <c r="N178" s="58"/>
      <c r="O178" s="59"/>
      <c r="P178" s="60"/>
      <c r="Q178" s="61"/>
      <c r="R178" s="62"/>
      <c r="S178" s="52"/>
      <c r="T178" s="48"/>
      <c r="U178" s="63"/>
      <c r="X178" s="48"/>
      <c r="Y178" s="48"/>
      <c r="Z178" s="48"/>
      <c r="AA178" s="48"/>
      <c r="AB178" s="48"/>
      <c r="AC178" s="48"/>
      <c r="AD178" s="48"/>
      <c r="AE178" s="48"/>
      <c r="AF178" s="48"/>
      <c r="AG178" s="48"/>
      <c r="AH178" s="48"/>
    </row>
    <row r="179" ht="15.75" customHeight="1">
      <c r="E179" s="48"/>
      <c r="F179" s="52"/>
      <c r="G179" s="48"/>
      <c r="H179" s="48"/>
      <c r="I179" s="53"/>
      <c r="J179" s="54"/>
      <c r="K179" s="55"/>
      <c r="L179" s="56"/>
      <c r="M179" s="57"/>
      <c r="N179" s="58"/>
      <c r="O179" s="59"/>
      <c r="P179" s="60"/>
      <c r="Q179" s="61"/>
      <c r="R179" s="62"/>
      <c r="S179" s="52"/>
      <c r="T179" s="48"/>
      <c r="U179" s="63"/>
      <c r="X179" s="48"/>
      <c r="Y179" s="48"/>
      <c r="Z179" s="48"/>
      <c r="AA179" s="48"/>
      <c r="AB179" s="48"/>
      <c r="AC179" s="48"/>
      <c r="AD179" s="48"/>
      <c r="AE179" s="48"/>
      <c r="AF179" s="48"/>
      <c r="AG179" s="48"/>
      <c r="AH179" s="48"/>
    </row>
    <row r="180" ht="15.75" customHeight="1">
      <c r="E180" s="48"/>
      <c r="F180" s="52"/>
      <c r="G180" s="48"/>
      <c r="H180" s="48"/>
      <c r="I180" s="53"/>
      <c r="J180" s="54"/>
      <c r="K180" s="55"/>
      <c r="L180" s="56"/>
      <c r="M180" s="57"/>
      <c r="N180" s="58"/>
      <c r="O180" s="59"/>
      <c r="P180" s="60"/>
      <c r="Q180" s="61"/>
      <c r="R180" s="62"/>
      <c r="S180" s="52"/>
      <c r="T180" s="48"/>
      <c r="U180" s="63"/>
      <c r="X180" s="48"/>
      <c r="Y180" s="48"/>
      <c r="Z180" s="48"/>
      <c r="AA180" s="48"/>
      <c r="AB180" s="48"/>
      <c r="AC180" s="48"/>
      <c r="AD180" s="48"/>
      <c r="AE180" s="48"/>
      <c r="AF180" s="48"/>
      <c r="AG180" s="48"/>
      <c r="AH180" s="48"/>
    </row>
    <row r="181" ht="15.75" customHeight="1">
      <c r="E181" s="48"/>
      <c r="F181" s="52"/>
      <c r="G181" s="48"/>
      <c r="H181" s="48"/>
      <c r="I181" s="53"/>
      <c r="J181" s="54"/>
      <c r="K181" s="55"/>
      <c r="L181" s="56"/>
      <c r="M181" s="57"/>
      <c r="N181" s="58"/>
      <c r="O181" s="59"/>
      <c r="P181" s="60"/>
      <c r="Q181" s="61"/>
      <c r="R181" s="62"/>
      <c r="S181" s="52"/>
      <c r="T181" s="48"/>
      <c r="U181" s="63"/>
      <c r="X181" s="48"/>
      <c r="Y181" s="48"/>
      <c r="Z181" s="48"/>
      <c r="AA181" s="48"/>
      <c r="AB181" s="48"/>
      <c r="AC181" s="48"/>
      <c r="AD181" s="48"/>
      <c r="AE181" s="48"/>
      <c r="AF181" s="48"/>
      <c r="AG181" s="48"/>
      <c r="AH181" s="48"/>
    </row>
    <row r="182" ht="15.75" customHeight="1">
      <c r="E182" s="48"/>
      <c r="F182" s="52"/>
      <c r="G182" s="48"/>
      <c r="H182" s="48"/>
      <c r="I182" s="53"/>
      <c r="J182" s="54"/>
      <c r="K182" s="55"/>
      <c r="L182" s="56"/>
      <c r="M182" s="57"/>
      <c r="N182" s="58"/>
      <c r="O182" s="59"/>
      <c r="P182" s="60"/>
      <c r="Q182" s="61"/>
      <c r="R182" s="62"/>
      <c r="S182" s="52"/>
      <c r="T182" s="48"/>
      <c r="U182" s="63"/>
      <c r="X182" s="48"/>
      <c r="Y182" s="48"/>
      <c r="Z182" s="48"/>
      <c r="AA182" s="48"/>
      <c r="AB182" s="48"/>
      <c r="AC182" s="48"/>
      <c r="AD182" s="48"/>
      <c r="AE182" s="48"/>
      <c r="AF182" s="48"/>
      <c r="AG182" s="48"/>
      <c r="AH182" s="48"/>
    </row>
    <row r="183" ht="15.75" customHeight="1">
      <c r="E183" s="48"/>
      <c r="F183" s="52"/>
      <c r="G183" s="48"/>
      <c r="H183" s="48"/>
      <c r="I183" s="53"/>
      <c r="J183" s="54"/>
      <c r="K183" s="55"/>
      <c r="L183" s="56"/>
      <c r="M183" s="57"/>
      <c r="N183" s="58"/>
      <c r="O183" s="59"/>
      <c r="P183" s="60"/>
      <c r="Q183" s="61"/>
      <c r="R183" s="62"/>
      <c r="S183" s="52"/>
      <c r="T183" s="48"/>
      <c r="U183" s="63"/>
      <c r="X183" s="48"/>
      <c r="Y183" s="48"/>
      <c r="Z183" s="48"/>
      <c r="AA183" s="48"/>
      <c r="AB183" s="48"/>
      <c r="AC183" s="48"/>
      <c r="AD183" s="48"/>
      <c r="AE183" s="48"/>
      <c r="AF183" s="48"/>
      <c r="AG183" s="48"/>
      <c r="AH183" s="48"/>
    </row>
    <row r="184" ht="15.75" customHeight="1">
      <c r="E184" s="48"/>
      <c r="F184" s="52"/>
      <c r="G184" s="48"/>
      <c r="H184" s="48"/>
      <c r="I184" s="53"/>
      <c r="J184" s="54"/>
      <c r="K184" s="55"/>
      <c r="L184" s="56"/>
      <c r="M184" s="57"/>
      <c r="N184" s="58"/>
      <c r="O184" s="59"/>
      <c r="P184" s="60"/>
      <c r="Q184" s="61"/>
      <c r="R184" s="62"/>
      <c r="S184" s="52"/>
      <c r="T184" s="48"/>
      <c r="U184" s="63"/>
      <c r="X184" s="48"/>
      <c r="Y184" s="48"/>
      <c r="Z184" s="48"/>
      <c r="AA184" s="48"/>
      <c r="AB184" s="48"/>
      <c r="AC184" s="48"/>
      <c r="AD184" s="48"/>
      <c r="AE184" s="48"/>
      <c r="AF184" s="48"/>
      <c r="AG184" s="48"/>
      <c r="AH184" s="48"/>
    </row>
    <row r="185" ht="15.75" customHeight="1">
      <c r="E185" s="48"/>
      <c r="F185" s="52"/>
      <c r="G185" s="48"/>
      <c r="H185" s="48"/>
      <c r="I185" s="53"/>
      <c r="J185" s="54"/>
      <c r="K185" s="55"/>
      <c r="L185" s="56"/>
      <c r="M185" s="57"/>
      <c r="N185" s="58"/>
      <c r="O185" s="59"/>
      <c r="P185" s="60"/>
      <c r="Q185" s="61"/>
      <c r="R185" s="62"/>
      <c r="S185" s="52"/>
      <c r="T185" s="48"/>
      <c r="U185" s="63"/>
      <c r="X185" s="48"/>
      <c r="Y185" s="48"/>
      <c r="Z185" s="48"/>
      <c r="AA185" s="48"/>
      <c r="AB185" s="48"/>
      <c r="AC185" s="48"/>
      <c r="AD185" s="48"/>
      <c r="AE185" s="48"/>
      <c r="AF185" s="48"/>
      <c r="AG185" s="48"/>
      <c r="AH185" s="48"/>
    </row>
    <row r="186" ht="15.75" customHeight="1">
      <c r="E186" s="48"/>
      <c r="F186" s="52"/>
      <c r="G186" s="48"/>
      <c r="H186" s="48"/>
      <c r="I186" s="53"/>
      <c r="J186" s="54"/>
      <c r="K186" s="55"/>
      <c r="L186" s="56"/>
      <c r="M186" s="57"/>
      <c r="N186" s="58"/>
      <c r="O186" s="59"/>
      <c r="P186" s="60"/>
      <c r="Q186" s="61"/>
      <c r="R186" s="62"/>
      <c r="S186" s="52"/>
      <c r="T186" s="48"/>
      <c r="U186" s="63"/>
      <c r="X186" s="48"/>
      <c r="Y186" s="48"/>
      <c r="Z186" s="48"/>
      <c r="AA186" s="48"/>
      <c r="AB186" s="48"/>
      <c r="AC186" s="48"/>
      <c r="AD186" s="48"/>
      <c r="AE186" s="48"/>
      <c r="AF186" s="48"/>
      <c r="AG186" s="48"/>
      <c r="AH186" s="48"/>
    </row>
    <row r="187" ht="15.75" customHeight="1">
      <c r="E187" s="48"/>
      <c r="F187" s="52"/>
      <c r="G187" s="48"/>
      <c r="H187" s="48"/>
      <c r="I187" s="53"/>
      <c r="J187" s="54"/>
      <c r="K187" s="55"/>
      <c r="L187" s="56"/>
      <c r="M187" s="57"/>
      <c r="N187" s="58"/>
      <c r="O187" s="59"/>
      <c r="P187" s="60"/>
      <c r="Q187" s="61"/>
      <c r="R187" s="62"/>
      <c r="S187" s="52"/>
      <c r="T187" s="48"/>
      <c r="U187" s="63"/>
      <c r="X187" s="48"/>
      <c r="Y187" s="48"/>
      <c r="Z187" s="48"/>
      <c r="AA187" s="48"/>
      <c r="AB187" s="48"/>
      <c r="AC187" s="48"/>
      <c r="AD187" s="48"/>
      <c r="AE187" s="48"/>
      <c r="AF187" s="48"/>
      <c r="AG187" s="48"/>
      <c r="AH187" s="48"/>
    </row>
    <row r="188" ht="15.75" customHeight="1">
      <c r="E188" s="48"/>
      <c r="F188" s="52"/>
      <c r="G188" s="48"/>
      <c r="H188" s="48"/>
      <c r="I188" s="53"/>
      <c r="J188" s="54"/>
      <c r="K188" s="55"/>
      <c r="L188" s="56"/>
      <c r="M188" s="57"/>
      <c r="N188" s="58"/>
      <c r="O188" s="59"/>
      <c r="P188" s="60"/>
      <c r="Q188" s="61"/>
      <c r="R188" s="62"/>
      <c r="S188" s="52"/>
      <c r="T188" s="48"/>
      <c r="U188" s="63"/>
      <c r="X188" s="48"/>
      <c r="Y188" s="48"/>
      <c r="Z188" s="48"/>
      <c r="AA188" s="48"/>
      <c r="AB188" s="48"/>
      <c r="AC188" s="48"/>
      <c r="AD188" s="48"/>
      <c r="AE188" s="48"/>
      <c r="AF188" s="48"/>
      <c r="AG188" s="48"/>
      <c r="AH188" s="48"/>
    </row>
    <row r="189" ht="15.75" customHeight="1">
      <c r="E189" s="48"/>
      <c r="F189" s="52"/>
      <c r="G189" s="48"/>
      <c r="H189" s="48"/>
      <c r="I189" s="53"/>
      <c r="J189" s="54"/>
      <c r="K189" s="55"/>
      <c r="L189" s="56"/>
      <c r="M189" s="57"/>
      <c r="N189" s="58"/>
      <c r="O189" s="59"/>
      <c r="P189" s="60"/>
      <c r="Q189" s="61"/>
      <c r="R189" s="62"/>
      <c r="S189" s="52"/>
      <c r="T189" s="48"/>
      <c r="U189" s="63"/>
      <c r="X189" s="48"/>
      <c r="Y189" s="48"/>
      <c r="Z189" s="48"/>
      <c r="AA189" s="48"/>
      <c r="AB189" s="48"/>
      <c r="AC189" s="48"/>
      <c r="AD189" s="48"/>
      <c r="AE189" s="48"/>
      <c r="AF189" s="48"/>
      <c r="AG189" s="48"/>
      <c r="AH189" s="48"/>
    </row>
    <row r="190" ht="15.75" customHeight="1">
      <c r="E190" s="48"/>
      <c r="F190" s="52"/>
      <c r="G190" s="48"/>
      <c r="H190" s="48"/>
      <c r="I190" s="53"/>
      <c r="J190" s="54"/>
      <c r="K190" s="55"/>
      <c r="L190" s="56"/>
      <c r="M190" s="57"/>
      <c r="N190" s="58"/>
      <c r="O190" s="59"/>
      <c r="P190" s="60"/>
      <c r="Q190" s="61"/>
      <c r="R190" s="62"/>
      <c r="S190" s="52"/>
      <c r="T190" s="48"/>
      <c r="U190" s="63"/>
      <c r="X190" s="48"/>
      <c r="Y190" s="48"/>
      <c r="Z190" s="48"/>
      <c r="AA190" s="48"/>
      <c r="AB190" s="48"/>
      <c r="AC190" s="48"/>
      <c r="AD190" s="48"/>
      <c r="AE190" s="48"/>
      <c r="AF190" s="48"/>
      <c r="AG190" s="48"/>
      <c r="AH190" s="48"/>
    </row>
    <row r="191" ht="15.75" customHeight="1">
      <c r="E191" s="48"/>
      <c r="F191" s="52"/>
      <c r="G191" s="48"/>
      <c r="H191" s="48"/>
      <c r="I191" s="53"/>
      <c r="J191" s="54"/>
      <c r="K191" s="55"/>
      <c r="L191" s="56"/>
      <c r="M191" s="57"/>
      <c r="N191" s="58"/>
      <c r="O191" s="59"/>
      <c r="P191" s="60"/>
      <c r="Q191" s="61"/>
      <c r="R191" s="62"/>
      <c r="S191" s="52"/>
      <c r="T191" s="48"/>
      <c r="U191" s="63"/>
      <c r="X191" s="48"/>
      <c r="Y191" s="48"/>
      <c r="Z191" s="48"/>
      <c r="AA191" s="48"/>
      <c r="AB191" s="48"/>
      <c r="AC191" s="48"/>
      <c r="AD191" s="48"/>
      <c r="AE191" s="48"/>
      <c r="AF191" s="48"/>
      <c r="AG191" s="48"/>
      <c r="AH191" s="48"/>
    </row>
    <row r="192" ht="15.75" customHeight="1">
      <c r="E192" s="48"/>
      <c r="F192" s="52"/>
      <c r="G192" s="48"/>
      <c r="H192" s="48"/>
      <c r="I192" s="53"/>
      <c r="J192" s="54"/>
      <c r="K192" s="55"/>
      <c r="L192" s="56"/>
      <c r="M192" s="57"/>
      <c r="N192" s="58"/>
      <c r="O192" s="59"/>
      <c r="P192" s="60"/>
      <c r="Q192" s="61"/>
      <c r="R192" s="62"/>
      <c r="S192" s="52"/>
      <c r="T192" s="48"/>
      <c r="U192" s="63"/>
      <c r="X192" s="48"/>
      <c r="Y192" s="48"/>
      <c r="Z192" s="48"/>
      <c r="AA192" s="48"/>
      <c r="AB192" s="48"/>
      <c r="AC192" s="48"/>
      <c r="AD192" s="48"/>
      <c r="AE192" s="48"/>
      <c r="AF192" s="48"/>
      <c r="AG192" s="48"/>
      <c r="AH192" s="48"/>
    </row>
    <row r="193" ht="15.75" customHeight="1">
      <c r="E193" s="48"/>
      <c r="F193" s="52"/>
      <c r="G193" s="48"/>
      <c r="H193" s="48"/>
      <c r="I193" s="53"/>
      <c r="J193" s="54"/>
      <c r="K193" s="55"/>
      <c r="L193" s="56"/>
      <c r="M193" s="57"/>
      <c r="N193" s="58"/>
      <c r="O193" s="59"/>
      <c r="P193" s="60"/>
      <c r="Q193" s="61"/>
      <c r="R193" s="62"/>
      <c r="S193" s="52"/>
      <c r="T193" s="48"/>
      <c r="U193" s="63"/>
      <c r="X193" s="48"/>
      <c r="Y193" s="48"/>
      <c r="Z193" s="48"/>
      <c r="AA193" s="48"/>
      <c r="AB193" s="48"/>
      <c r="AC193" s="48"/>
      <c r="AD193" s="48"/>
      <c r="AE193" s="48"/>
      <c r="AF193" s="48"/>
      <c r="AG193" s="48"/>
      <c r="AH193" s="48"/>
    </row>
    <row r="194" ht="15.75" customHeight="1">
      <c r="E194" s="48"/>
      <c r="F194" s="52"/>
      <c r="G194" s="48"/>
      <c r="H194" s="48"/>
      <c r="I194" s="53"/>
      <c r="J194" s="54"/>
      <c r="K194" s="55"/>
      <c r="L194" s="56"/>
      <c r="M194" s="57"/>
      <c r="N194" s="58"/>
      <c r="O194" s="59"/>
      <c r="P194" s="60"/>
      <c r="Q194" s="61"/>
      <c r="R194" s="62"/>
      <c r="S194" s="52"/>
      <c r="T194" s="48"/>
      <c r="U194" s="63"/>
      <c r="X194" s="48"/>
      <c r="Y194" s="48"/>
      <c r="Z194" s="48"/>
      <c r="AA194" s="48"/>
      <c r="AB194" s="48"/>
      <c r="AC194" s="48"/>
      <c r="AD194" s="48"/>
      <c r="AE194" s="48"/>
      <c r="AF194" s="48"/>
      <c r="AG194" s="48"/>
      <c r="AH194" s="48"/>
    </row>
    <row r="195" ht="15.75" customHeight="1">
      <c r="E195" s="48"/>
      <c r="F195" s="52"/>
      <c r="G195" s="48"/>
      <c r="H195" s="48"/>
      <c r="I195" s="53"/>
      <c r="J195" s="54"/>
      <c r="K195" s="55"/>
      <c r="L195" s="56"/>
      <c r="M195" s="57"/>
      <c r="N195" s="58"/>
      <c r="O195" s="59"/>
      <c r="P195" s="60"/>
      <c r="Q195" s="61"/>
      <c r="R195" s="62"/>
      <c r="S195" s="52"/>
      <c r="T195" s="48"/>
      <c r="U195" s="63"/>
      <c r="X195" s="48"/>
      <c r="Y195" s="48"/>
      <c r="Z195" s="48"/>
      <c r="AA195" s="48"/>
      <c r="AB195" s="48"/>
      <c r="AC195" s="48"/>
      <c r="AD195" s="48"/>
      <c r="AE195" s="48"/>
      <c r="AF195" s="48"/>
      <c r="AG195" s="48"/>
      <c r="AH195" s="48"/>
    </row>
    <row r="196" ht="15.75" customHeight="1">
      <c r="E196" s="48"/>
      <c r="F196" s="52"/>
      <c r="G196" s="48"/>
      <c r="H196" s="48"/>
      <c r="I196" s="53"/>
      <c r="J196" s="54"/>
      <c r="K196" s="55"/>
      <c r="L196" s="56"/>
      <c r="M196" s="57"/>
      <c r="N196" s="58"/>
      <c r="O196" s="59"/>
      <c r="P196" s="60"/>
      <c r="Q196" s="61"/>
      <c r="R196" s="62"/>
      <c r="S196" s="52"/>
      <c r="T196" s="48"/>
      <c r="U196" s="63"/>
      <c r="X196" s="48"/>
      <c r="Y196" s="48"/>
      <c r="Z196" s="48"/>
      <c r="AA196" s="48"/>
      <c r="AB196" s="48"/>
      <c r="AC196" s="48"/>
      <c r="AD196" s="48"/>
      <c r="AE196" s="48"/>
      <c r="AF196" s="48"/>
      <c r="AG196" s="48"/>
      <c r="AH196" s="48"/>
    </row>
    <row r="197" ht="15.75" customHeight="1">
      <c r="E197" s="48"/>
      <c r="F197" s="52"/>
      <c r="G197" s="48"/>
      <c r="H197" s="48"/>
      <c r="I197" s="53"/>
      <c r="J197" s="54"/>
      <c r="K197" s="55"/>
      <c r="L197" s="56"/>
      <c r="M197" s="57"/>
      <c r="N197" s="58"/>
      <c r="O197" s="59"/>
      <c r="P197" s="60"/>
      <c r="Q197" s="61"/>
      <c r="R197" s="62"/>
      <c r="S197" s="52"/>
      <c r="T197" s="48"/>
      <c r="U197" s="63"/>
      <c r="X197" s="48"/>
      <c r="Y197" s="48"/>
      <c r="Z197" s="48"/>
      <c r="AA197" s="48"/>
      <c r="AB197" s="48"/>
      <c r="AC197" s="48"/>
      <c r="AD197" s="48"/>
      <c r="AE197" s="48"/>
      <c r="AF197" s="48"/>
      <c r="AG197" s="48"/>
      <c r="AH197" s="48"/>
    </row>
    <row r="198" ht="15.75" customHeight="1">
      <c r="E198" s="48"/>
      <c r="F198" s="52"/>
      <c r="G198" s="48"/>
      <c r="H198" s="48"/>
      <c r="I198" s="53"/>
      <c r="J198" s="54"/>
      <c r="K198" s="55"/>
      <c r="L198" s="56"/>
      <c r="M198" s="57"/>
      <c r="N198" s="58"/>
      <c r="O198" s="59"/>
      <c r="P198" s="60"/>
      <c r="Q198" s="61"/>
      <c r="R198" s="62"/>
      <c r="S198" s="52"/>
      <c r="T198" s="48"/>
      <c r="U198" s="63"/>
      <c r="X198" s="48"/>
      <c r="Y198" s="48"/>
      <c r="Z198" s="48"/>
      <c r="AA198" s="48"/>
      <c r="AB198" s="48"/>
      <c r="AC198" s="48"/>
      <c r="AD198" s="48"/>
      <c r="AE198" s="48"/>
      <c r="AF198" s="48"/>
      <c r="AG198" s="48"/>
      <c r="AH198" s="48"/>
    </row>
    <row r="199" ht="15.75" customHeight="1">
      <c r="E199" s="48"/>
      <c r="F199" s="52"/>
      <c r="G199" s="48"/>
      <c r="H199" s="48"/>
      <c r="I199" s="53"/>
      <c r="J199" s="54"/>
      <c r="K199" s="55"/>
      <c r="L199" s="56"/>
      <c r="M199" s="57"/>
      <c r="N199" s="58"/>
      <c r="O199" s="59"/>
      <c r="P199" s="60"/>
      <c r="Q199" s="61"/>
      <c r="R199" s="62"/>
      <c r="S199" s="52"/>
      <c r="T199" s="48"/>
      <c r="U199" s="63"/>
      <c r="X199" s="48"/>
      <c r="Y199" s="48"/>
      <c r="Z199" s="48"/>
      <c r="AA199" s="48"/>
      <c r="AB199" s="48"/>
      <c r="AC199" s="48"/>
      <c r="AD199" s="48"/>
      <c r="AE199" s="48"/>
      <c r="AF199" s="48"/>
      <c r="AG199" s="48"/>
      <c r="AH199" s="48"/>
    </row>
    <row r="200" ht="15.75" customHeight="1">
      <c r="E200" s="48"/>
      <c r="F200" s="52"/>
      <c r="G200" s="48"/>
      <c r="H200" s="48"/>
      <c r="I200" s="53"/>
      <c r="J200" s="54"/>
      <c r="K200" s="55"/>
      <c r="L200" s="56"/>
      <c r="M200" s="57"/>
      <c r="N200" s="58"/>
      <c r="O200" s="59"/>
      <c r="P200" s="60"/>
      <c r="Q200" s="61"/>
      <c r="R200" s="62"/>
      <c r="S200" s="52"/>
      <c r="T200" s="48"/>
      <c r="U200" s="63"/>
      <c r="X200" s="48"/>
      <c r="Y200" s="48"/>
      <c r="Z200" s="48"/>
      <c r="AA200" s="48"/>
      <c r="AB200" s="48"/>
      <c r="AC200" s="48"/>
      <c r="AD200" s="48"/>
      <c r="AE200" s="48"/>
      <c r="AF200" s="48"/>
      <c r="AG200" s="48"/>
      <c r="AH200" s="48"/>
    </row>
    <row r="201" ht="15.75" customHeight="1">
      <c r="E201" s="48"/>
      <c r="F201" s="52"/>
      <c r="G201" s="48"/>
      <c r="H201" s="48"/>
      <c r="I201" s="53"/>
      <c r="J201" s="54"/>
      <c r="K201" s="55"/>
      <c r="L201" s="56"/>
      <c r="M201" s="57"/>
      <c r="N201" s="58"/>
      <c r="O201" s="59"/>
      <c r="P201" s="60"/>
      <c r="Q201" s="61"/>
      <c r="R201" s="62"/>
      <c r="S201" s="52"/>
      <c r="T201" s="48"/>
      <c r="U201" s="63"/>
      <c r="X201" s="48"/>
      <c r="Y201" s="48"/>
      <c r="Z201" s="48"/>
      <c r="AA201" s="48"/>
      <c r="AB201" s="48"/>
      <c r="AC201" s="48"/>
      <c r="AD201" s="48"/>
      <c r="AE201" s="48"/>
      <c r="AF201" s="48"/>
      <c r="AG201" s="48"/>
      <c r="AH201" s="48"/>
    </row>
    <row r="202" ht="15.75" customHeight="1">
      <c r="E202" s="48"/>
      <c r="F202" s="52"/>
      <c r="G202" s="48"/>
      <c r="H202" s="48"/>
      <c r="I202" s="53"/>
      <c r="J202" s="54"/>
      <c r="K202" s="55"/>
      <c r="L202" s="56"/>
      <c r="M202" s="57"/>
      <c r="N202" s="58"/>
      <c r="O202" s="59"/>
      <c r="P202" s="60"/>
      <c r="Q202" s="61"/>
      <c r="R202" s="62"/>
      <c r="S202" s="52"/>
      <c r="T202" s="48"/>
      <c r="U202" s="63"/>
      <c r="X202" s="48"/>
      <c r="Y202" s="48"/>
      <c r="Z202" s="48"/>
      <c r="AA202" s="48"/>
      <c r="AB202" s="48"/>
      <c r="AC202" s="48"/>
      <c r="AD202" s="48"/>
      <c r="AE202" s="48"/>
      <c r="AF202" s="48"/>
      <c r="AG202" s="48"/>
      <c r="AH202" s="48"/>
    </row>
    <row r="203" ht="15.75" customHeight="1">
      <c r="E203" s="48"/>
      <c r="F203" s="52"/>
      <c r="G203" s="48"/>
      <c r="H203" s="48"/>
      <c r="I203" s="53"/>
      <c r="J203" s="54"/>
      <c r="K203" s="55"/>
      <c r="L203" s="56"/>
      <c r="M203" s="57"/>
      <c r="N203" s="58"/>
      <c r="O203" s="59"/>
      <c r="P203" s="60"/>
      <c r="Q203" s="61"/>
      <c r="R203" s="62"/>
      <c r="S203" s="52"/>
      <c r="T203" s="48"/>
      <c r="U203" s="63"/>
      <c r="X203" s="48"/>
      <c r="Y203" s="48"/>
      <c r="Z203" s="48"/>
      <c r="AA203" s="48"/>
      <c r="AB203" s="48"/>
      <c r="AC203" s="48"/>
      <c r="AD203" s="48"/>
      <c r="AE203" s="48"/>
      <c r="AF203" s="48"/>
      <c r="AG203" s="48"/>
      <c r="AH203" s="48"/>
    </row>
    <row r="204" ht="15.75" customHeight="1">
      <c r="E204" s="48"/>
      <c r="F204" s="52"/>
      <c r="G204" s="48"/>
      <c r="H204" s="48"/>
      <c r="I204" s="53"/>
      <c r="J204" s="54"/>
      <c r="K204" s="55"/>
      <c r="L204" s="56"/>
      <c r="M204" s="57"/>
      <c r="N204" s="58"/>
      <c r="O204" s="59"/>
      <c r="P204" s="60"/>
      <c r="Q204" s="61"/>
      <c r="R204" s="62"/>
      <c r="S204" s="52"/>
      <c r="T204" s="48"/>
      <c r="U204" s="63"/>
      <c r="X204" s="48"/>
      <c r="Y204" s="48"/>
      <c r="Z204" s="48"/>
      <c r="AA204" s="48"/>
      <c r="AB204" s="48"/>
      <c r="AC204" s="48"/>
      <c r="AD204" s="48"/>
      <c r="AE204" s="48"/>
      <c r="AF204" s="48"/>
      <c r="AG204" s="48"/>
      <c r="AH204" s="48"/>
    </row>
    <row r="205" ht="15.75" customHeight="1">
      <c r="E205" s="48"/>
      <c r="F205" s="52"/>
      <c r="G205" s="48"/>
      <c r="H205" s="48"/>
      <c r="I205" s="53"/>
      <c r="J205" s="54"/>
      <c r="K205" s="55"/>
      <c r="L205" s="56"/>
      <c r="M205" s="57"/>
      <c r="N205" s="58"/>
      <c r="O205" s="59"/>
      <c r="P205" s="60"/>
      <c r="Q205" s="61"/>
      <c r="R205" s="62"/>
      <c r="S205" s="52"/>
      <c r="T205" s="48"/>
      <c r="U205" s="63"/>
      <c r="X205" s="48"/>
      <c r="Y205" s="48"/>
      <c r="Z205" s="48"/>
      <c r="AA205" s="48"/>
      <c r="AB205" s="48"/>
      <c r="AC205" s="48"/>
      <c r="AD205" s="48"/>
      <c r="AE205" s="48"/>
      <c r="AF205" s="48"/>
      <c r="AG205" s="48"/>
      <c r="AH205" s="48"/>
    </row>
    <row r="206" ht="15.75" customHeight="1">
      <c r="E206" s="48"/>
      <c r="F206" s="52"/>
      <c r="G206" s="48"/>
      <c r="H206" s="48"/>
      <c r="I206" s="53"/>
      <c r="J206" s="54"/>
      <c r="K206" s="55"/>
      <c r="L206" s="56"/>
      <c r="M206" s="57"/>
      <c r="N206" s="58"/>
      <c r="O206" s="59"/>
      <c r="P206" s="60"/>
      <c r="Q206" s="61"/>
      <c r="R206" s="62"/>
      <c r="S206" s="52"/>
      <c r="T206" s="48"/>
      <c r="U206" s="63"/>
      <c r="X206" s="48"/>
      <c r="Y206" s="48"/>
      <c r="Z206" s="48"/>
      <c r="AA206" s="48"/>
      <c r="AB206" s="48"/>
      <c r="AC206" s="48"/>
      <c r="AD206" s="48"/>
      <c r="AE206" s="48"/>
      <c r="AF206" s="48"/>
      <c r="AG206" s="48"/>
      <c r="AH206" s="48"/>
    </row>
    <row r="207" ht="15.75" customHeight="1">
      <c r="E207" s="48"/>
      <c r="F207" s="52"/>
      <c r="G207" s="48"/>
      <c r="H207" s="48"/>
      <c r="I207" s="53"/>
      <c r="J207" s="54"/>
      <c r="K207" s="55"/>
      <c r="L207" s="56"/>
      <c r="M207" s="57"/>
      <c r="N207" s="58"/>
      <c r="O207" s="59"/>
      <c r="P207" s="60"/>
      <c r="Q207" s="61"/>
      <c r="R207" s="62"/>
      <c r="S207" s="52"/>
      <c r="T207" s="48"/>
      <c r="U207" s="63"/>
      <c r="X207" s="48"/>
      <c r="Y207" s="48"/>
      <c r="Z207" s="48"/>
      <c r="AA207" s="48"/>
      <c r="AB207" s="48"/>
      <c r="AC207" s="48"/>
      <c r="AD207" s="48"/>
      <c r="AE207" s="48"/>
      <c r="AF207" s="48"/>
      <c r="AG207" s="48"/>
      <c r="AH207" s="48"/>
    </row>
    <row r="208" ht="15.75" customHeight="1">
      <c r="E208" s="48"/>
      <c r="F208" s="52"/>
      <c r="G208" s="48"/>
      <c r="H208" s="48"/>
      <c r="I208" s="53"/>
      <c r="J208" s="54"/>
      <c r="K208" s="55"/>
      <c r="L208" s="56"/>
      <c r="M208" s="57"/>
      <c r="N208" s="58"/>
      <c r="O208" s="59"/>
      <c r="P208" s="60"/>
      <c r="Q208" s="61"/>
      <c r="R208" s="62"/>
      <c r="S208" s="52"/>
      <c r="T208" s="48"/>
      <c r="U208" s="63"/>
      <c r="X208" s="48"/>
      <c r="Y208" s="48"/>
      <c r="Z208" s="48"/>
      <c r="AA208" s="48"/>
      <c r="AB208" s="48"/>
      <c r="AC208" s="48"/>
      <c r="AD208" s="48"/>
      <c r="AE208" s="48"/>
      <c r="AF208" s="48"/>
      <c r="AG208" s="48"/>
      <c r="AH208" s="48"/>
    </row>
    <row r="209" ht="15.75" customHeight="1">
      <c r="E209" s="48"/>
      <c r="F209" s="52"/>
      <c r="G209" s="48"/>
      <c r="H209" s="48"/>
      <c r="I209" s="53"/>
      <c r="J209" s="54"/>
      <c r="K209" s="55"/>
      <c r="L209" s="56"/>
      <c r="M209" s="57"/>
      <c r="N209" s="58"/>
      <c r="O209" s="59"/>
      <c r="P209" s="60"/>
      <c r="Q209" s="61"/>
      <c r="R209" s="62"/>
      <c r="S209" s="52"/>
      <c r="T209" s="48"/>
      <c r="U209" s="63"/>
      <c r="X209" s="48"/>
      <c r="Y209" s="48"/>
      <c r="Z209" s="48"/>
      <c r="AA209" s="48"/>
      <c r="AB209" s="48"/>
      <c r="AC209" s="48"/>
      <c r="AD209" s="48"/>
      <c r="AE209" s="48"/>
      <c r="AF209" s="48"/>
      <c r="AG209" s="48"/>
      <c r="AH209" s="48"/>
    </row>
    <row r="210" ht="15.75" customHeight="1">
      <c r="E210" s="48"/>
      <c r="F210" s="52"/>
      <c r="G210" s="48"/>
      <c r="H210" s="48"/>
      <c r="I210" s="53"/>
      <c r="J210" s="54"/>
      <c r="K210" s="55"/>
      <c r="L210" s="56"/>
      <c r="M210" s="57"/>
      <c r="N210" s="58"/>
      <c r="O210" s="59"/>
      <c r="P210" s="60"/>
      <c r="Q210" s="61"/>
      <c r="R210" s="62"/>
      <c r="S210" s="52"/>
      <c r="T210" s="48"/>
      <c r="U210" s="63"/>
      <c r="X210" s="48"/>
      <c r="Y210" s="48"/>
      <c r="Z210" s="48"/>
      <c r="AA210" s="48"/>
      <c r="AB210" s="48"/>
      <c r="AC210" s="48"/>
      <c r="AD210" s="48"/>
      <c r="AE210" s="48"/>
      <c r="AF210" s="48"/>
      <c r="AG210" s="48"/>
      <c r="AH210" s="48"/>
    </row>
    <row r="211" ht="15.75" customHeight="1">
      <c r="E211" s="48"/>
      <c r="F211" s="52"/>
      <c r="G211" s="48"/>
      <c r="H211" s="48"/>
      <c r="I211" s="53"/>
      <c r="J211" s="54"/>
      <c r="K211" s="55"/>
      <c r="L211" s="56"/>
      <c r="M211" s="57"/>
      <c r="N211" s="58"/>
      <c r="O211" s="59"/>
      <c r="P211" s="60"/>
      <c r="Q211" s="61"/>
      <c r="R211" s="62"/>
      <c r="S211" s="52"/>
      <c r="T211" s="48"/>
      <c r="U211" s="63"/>
      <c r="X211" s="48"/>
      <c r="Y211" s="48"/>
      <c r="Z211" s="48"/>
      <c r="AA211" s="48"/>
      <c r="AB211" s="48"/>
      <c r="AC211" s="48"/>
      <c r="AD211" s="48"/>
      <c r="AE211" s="48"/>
      <c r="AF211" s="48"/>
      <c r="AG211" s="48"/>
      <c r="AH211" s="48"/>
    </row>
    <row r="212" ht="15.75" customHeight="1">
      <c r="E212" s="48"/>
      <c r="F212" s="52"/>
      <c r="G212" s="48"/>
      <c r="H212" s="48"/>
      <c r="I212" s="53"/>
      <c r="J212" s="54"/>
      <c r="K212" s="55"/>
      <c r="L212" s="56"/>
      <c r="M212" s="57"/>
      <c r="N212" s="58"/>
      <c r="O212" s="59"/>
      <c r="P212" s="60"/>
      <c r="Q212" s="61"/>
      <c r="R212" s="62"/>
      <c r="S212" s="52"/>
      <c r="T212" s="48"/>
      <c r="U212" s="63"/>
      <c r="X212" s="48"/>
      <c r="Y212" s="48"/>
      <c r="Z212" s="48"/>
      <c r="AA212" s="48"/>
      <c r="AB212" s="48"/>
      <c r="AC212" s="48"/>
      <c r="AD212" s="48"/>
      <c r="AE212" s="48"/>
      <c r="AF212" s="48"/>
      <c r="AG212" s="48"/>
      <c r="AH212" s="48"/>
    </row>
    <row r="213" ht="15.75" customHeight="1">
      <c r="E213" s="48"/>
      <c r="F213" s="52"/>
      <c r="G213" s="48"/>
      <c r="H213" s="48"/>
      <c r="I213" s="53"/>
      <c r="J213" s="54"/>
      <c r="K213" s="55"/>
      <c r="L213" s="56"/>
      <c r="M213" s="57"/>
      <c r="N213" s="58"/>
      <c r="O213" s="59"/>
      <c r="P213" s="60"/>
      <c r="Q213" s="61"/>
      <c r="R213" s="62"/>
      <c r="S213" s="52"/>
      <c r="T213" s="48"/>
      <c r="U213" s="63"/>
      <c r="X213" s="48"/>
      <c r="Y213" s="48"/>
      <c r="Z213" s="48"/>
      <c r="AA213" s="48"/>
      <c r="AB213" s="48"/>
      <c r="AC213" s="48"/>
      <c r="AD213" s="48"/>
      <c r="AE213" s="48"/>
      <c r="AF213" s="48"/>
      <c r="AG213" s="48"/>
      <c r="AH213" s="48"/>
    </row>
    <row r="214" ht="15.75" customHeight="1">
      <c r="E214" s="48"/>
      <c r="F214" s="52"/>
      <c r="G214" s="48"/>
      <c r="H214" s="48"/>
      <c r="I214" s="53"/>
      <c r="J214" s="54"/>
      <c r="K214" s="55"/>
      <c r="L214" s="56"/>
      <c r="M214" s="57"/>
      <c r="N214" s="58"/>
      <c r="O214" s="59"/>
      <c r="P214" s="60"/>
      <c r="Q214" s="61"/>
      <c r="R214" s="62"/>
      <c r="S214" s="52"/>
      <c r="T214" s="48"/>
      <c r="U214" s="63"/>
      <c r="X214" s="48"/>
      <c r="Y214" s="48"/>
      <c r="Z214" s="48"/>
      <c r="AA214" s="48"/>
      <c r="AB214" s="48"/>
      <c r="AC214" s="48"/>
      <c r="AD214" s="48"/>
      <c r="AE214" s="48"/>
      <c r="AF214" s="48"/>
      <c r="AG214" s="48"/>
      <c r="AH214" s="48"/>
    </row>
    <row r="215" ht="15.75" customHeight="1">
      <c r="E215" s="48"/>
      <c r="F215" s="52"/>
      <c r="G215" s="48"/>
      <c r="H215" s="48"/>
      <c r="I215" s="53"/>
      <c r="J215" s="54"/>
      <c r="K215" s="55"/>
      <c r="L215" s="56"/>
      <c r="M215" s="57"/>
      <c r="N215" s="58"/>
      <c r="O215" s="59"/>
      <c r="P215" s="60"/>
      <c r="Q215" s="61"/>
      <c r="R215" s="62"/>
      <c r="S215" s="52"/>
      <c r="T215" s="48"/>
      <c r="U215" s="63"/>
      <c r="X215" s="48"/>
      <c r="Y215" s="48"/>
      <c r="Z215" s="48"/>
      <c r="AA215" s="48"/>
      <c r="AB215" s="48"/>
      <c r="AC215" s="48"/>
      <c r="AD215" s="48"/>
      <c r="AE215" s="48"/>
      <c r="AF215" s="48"/>
      <c r="AG215" s="48"/>
      <c r="AH215" s="48"/>
    </row>
    <row r="216" ht="15.75" customHeight="1">
      <c r="E216" s="48"/>
      <c r="F216" s="52"/>
      <c r="G216" s="48"/>
      <c r="H216" s="48"/>
      <c r="I216" s="53"/>
      <c r="J216" s="54"/>
      <c r="K216" s="55"/>
      <c r="L216" s="56"/>
      <c r="M216" s="57"/>
      <c r="N216" s="58"/>
      <c r="O216" s="59"/>
      <c r="P216" s="60"/>
      <c r="Q216" s="61"/>
      <c r="R216" s="62"/>
      <c r="S216" s="52"/>
      <c r="T216" s="48"/>
      <c r="U216" s="63"/>
      <c r="X216" s="48"/>
      <c r="Y216" s="48"/>
      <c r="Z216" s="48"/>
      <c r="AA216" s="48"/>
      <c r="AB216" s="48"/>
      <c r="AC216" s="48"/>
      <c r="AD216" s="48"/>
      <c r="AE216" s="48"/>
      <c r="AF216" s="48"/>
      <c r="AG216" s="48"/>
      <c r="AH216" s="48"/>
    </row>
    <row r="217" ht="15.75" customHeight="1">
      <c r="E217" s="48"/>
      <c r="F217" s="52"/>
      <c r="G217" s="48"/>
      <c r="H217" s="48"/>
      <c r="I217" s="53"/>
      <c r="J217" s="54"/>
      <c r="K217" s="55"/>
      <c r="L217" s="56"/>
      <c r="M217" s="57"/>
      <c r="N217" s="58"/>
      <c r="O217" s="59"/>
      <c r="P217" s="60"/>
      <c r="Q217" s="61"/>
      <c r="R217" s="62"/>
      <c r="S217" s="52"/>
      <c r="T217" s="48"/>
      <c r="U217" s="63"/>
      <c r="X217" s="48"/>
      <c r="Y217" s="48"/>
      <c r="Z217" s="48"/>
      <c r="AA217" s="48"/>
      <c r="AB217" s="48"/>
      <c r="AC217" s="48"/>
      <c r="AD217" s="48"/>
      <c r="AE217" s="48"/>
      <c r="AF217" s="48"/>
      <c r="AG217" s="48"/>
      <c r="AH217" s="48"/>
    </row>
    <row r="218" ht="15.75" customHeight="1">
      <c r="E218" s="48"/>
      <c r="F218" s="52"/>
      <c r="G218" s="48"/>
      <c r="H218" s="48"/>
      <c r="I218" s="53"/>
      <c r="J218" s="54"/>
      <c r="K218" s="55"/>
      <c r="L218" s="56"/>
      <c r="M218" s="57"/>
      <c r="N218" s="58"/>
      <c r="O218" s="59"/>
      <c r="P218" s="60"/>
      <c r="Q218" s="61"/>
      <c r="R218" s="62"/>
      <c r="S218" s="52"/>
      <c r="T218" s="48"/>
      <c r="U218" s="63"/>
      <c r="X218" s="48"/>
      <c r="Y218" s="48"/>
      <c r="Z218" s="48"/>
      <c r="AA218" s="48"/>
      <c r="AB218" s="48"/>
      <c r="AC218" s="48"/>
      <c r="AD218" s="48"/>
      <c r="AE218" s="48"/>
      <c r="AF218" s="48"/>
      <c r="AG218" s="48"/>
      <c r="AH218" s="48"/>
    </row>
    <row r="219" ht="15.75" customHeight="1">
      <c r="E219" s="48"/>
      <c r="F219" s="52"/>
      <c r="G219" s="48"/>
      <c r="H219" s="48"/>
      <c r="I219" s="53"/>
      <c r="J219" s="54"/>
      <c r="K219" s="55"/>
      <c r="L219" s="56"/>
      <c r="M219" s="57"/>
      <c r="N219" s="58"/>
      <c r="O219" s="59"/>
      <c r="P219" s="60"/>
      <c r="Q219" s="61"/>
      <c r="R219" s="62"/>
      <c r="S219" s="52"/>
      <c r="T219" s="48"/>
      <c r="U219" s="63"/>
      <c r="X219" s="48"/>
      <c r="Y219" s="48"/>
      <c r="Z219" s="48"/>
      <c r="AA219" s="48"/>
      <c r="AB219" s="48"/>
      <c r="AC219" s="48"/>
      <c r="AD219" s="48"/>
      <c r="AE219" s="48"/>
      <c r="AF219" s="48"/>
      <c r="AG219" s="48"/>
      <c r="AH219" s="48"/>
    </row>
    <row r="220" ht="15.75" customHeight="1">
      <c r="E220" s="48"/>
      <c r="F220" s="52"/>
      <c r="G220" s="48"/>
      <c r="H220" s="48"/>
      <c r="I220" s="53"/>
      <c r="J220" s="54"/>
      <c r="K220" s="55"/>
      <c r="L220" s="56"/>
      <c r="M220" s="57"/>
      <c r="N220" s="58"/>
      <c r="O220" s="59"/>
      <c r="P220" s="60"/>
      <c r="Q220" s="61"/>
      <c r="R220" s="62"/>
      <c r="S220" s="52"/>
      <c r="T220" s="48"/>
      <c r="U220" s="63"/>
      <c r="X220" s="48"/>
      <c r="Y220" s="48"/>
      <c r="Z220" s="48"/>
      <c r="AA220" s="48"/>
      <c r="AB220" s="48"/>
      <c r="AC220" s="48"/>
      <c r="AD220" s="48"/>
      <c r="AE220" s="48"/>
      <c r="AF220" s="48"/>
      <c r="AG220" s="48"/>
      <c r="AH220" s="48"/>
    </row>
    <row r="221" ht="15.75" customHeight="1">
      <c r="F221" s="64"/>
      <c r="I221" s="65"/>
      <c r="J221" s="66"/>
      <c r="K221" s="67"/>
      <c r="L221" s="68"/>
      <c r="M221" s="69"/>
      <c r="N221" s="70"/>
      <c r="O221" s="71"/>
      <c r="P221" s="72"/>
      <c r="Q221" s="73"/>
      <c r="S221" s="64"/>
    </row>
    <row r="222" ht="15.75" customHeight="1">
      <c r="F222" s="64"/>
      <c r="I222" s="65"/>
      <c r="J222" s="66"/>
      <c r="K222" s="67"/>
      <c r="L222" s="68"/>
      <c r="M222" s="69"/>
      <c r="N222" s="70"/>
      <c r="O222" s="71"/>
      <c r="P222" s="72"/>
      <c r="Q222" s="73"/>
      <c r="S222" s="64"/>
    </row>
    <row r="223" ht="15.75" customHeight="1">
      <c r="F223" s="64"/>
      <c r="I223" s="65"/>
      <c r="J223" s="66"/>
      <c r="K223" s="67"/>
      <c r="L223" s="68"/>
      <c r="M223" s="69"/>
      <c r="N223" s="70"/>
      <c r="O223" s="71"/>
      <c r="P223" s="72"/>
      <c r="Q223" s="73"/>
      <c r="S223" s="64"/>
    </row>
    <row r="224" ht="15.75" customHeight="1">
      <c r="F224" s="64"/>
      <c r="I224" s="65"/>
      <c r="J224" s="66"/>
      <c r="K224" s="67"/>
      <c r="L224" s="68"/>
      <c r="M224" s="69"/>
      <c r="N224" s="70"/>
      <c r="O224" s="71"/>
      <c r="P224" s="72"/>
      <c r="Q224" s="73"/>
      <c r="S224" s="64"/>
    </row>
    <row r="225" ht="15.75" customHeight="1">
      <c r="F225" s="64"/>
      <c r="I225" s="65"/>
      <c r="J225" s="66"/>
      <c r="K225" s="67"/>
      <c r="L225" s="68"/>
      <c r="M225" s="69"/>
      <c r="N225" s="70"/>
      <c r="O225" s="71"/>
      <c r="P225" s="72"/>
      <c r="Q225" s="73"/>
      <c r="S225" s="64"/>
    </row>
    <row r="226" ht="15.75" customHeight="1">
      <c r="F226" s="64"/>
      <c r="I226" s="65"/>
      <c r="J226" s="66"/>
      <c r="K226" s="67"/>
      <c r="L226" s="68"/>
      <c r="M226" s="69"/>
      <c r="N226" s="70"/>
      <c r="O226" s="71"/>
      <c r="P226" s="72"/>
      <c r="Q226" s="73"/>
      <c r="S226" s="64"/>
    </row>
    <row r="227" ht="15.75" customHeight="1">
      <c r="F227" s="64"/>
      <c r="I227" s="65"/>
      <c r="J227" s="66"/>
      <c r="K227" s="67"/>
      <c r="L227" s="68"/>
      <c r="M227" s="69"/>
      <c r="N227" s="70"/>
      <c r="O227" s="71"/>
      <c r="P227" s="72"/>
      <c r="Q227" s="73"/>
      <c r="S227" s="64"/>
    </row>
    <row r="228" ht="15.75" customHeight="1">
      <c r="F228" s="64"/>
      <c r="I228" s="65"/>
      <c r="J228" s="66"/>
      <c r="K228" s="67"/>
      <c r="L228" s="68"/>
      <c r="M228" s="69"/>
      <c r="N228" s="70"/>
      <c r="O228" s="71"/>
      <c r="P228" s="72"/>
      <c r="Q228" s="73"/>
      <c r="S228" s="64"/>
    </row>
    <row r="229" ht="15.75" customHeight="1">
      <c r="F229" s="64"/>
      <c r="I229" s="65"/>
      <c r="J229" s="66"/>
      <c r="K229" s="67"/>
      <c r="L229" s="68"/>
      <c r="M229" s="69"/>
      <c r="N229" s="70"/>
      <c r="O229" s="71"/>
      <c r="P229" s="72"/>
      <c r="Q229" s="73"/>
      <c r="S229" s="64"/>
    </row>
    <row r="230" ht="15.75" customHeight="1">
      <c r="F230" s="64"/>
      <c r="I230" s="65"/>
      <c r="J230" s="66"/>
      <c r="K230" s="67"/>
      <c r="L230" s="68"/>
      <c r="M230" s="69"/>
      <c r="N230" s="70"/>
      <c r="O230" s="71"/>
      <c r="P230" s="72"/>
      <c r="Q230" s="73"/>
      <c r="S230" s="64"/>
    </row>
    <row r="231" ht="15.75" customHeight="1">
      <c r="F231" s="64"/>
      <c r="I231" s="65"/>
      <c r="J231" s="66"/>
      <c r="K231" s="67"/>
      <c r="L231" s="68"/>
      <c r="M231" s="69"/>
      <c r="N231" s="70"/>
      <c r="O231" s="71"/>
      <c r="P231" s="72"/>
      <c r="Q231" s="73"/>
      <c r="S231" s="64"/>
    </row>
    <row r="232" ht="15.75" customHeight="1">
      <c r="F232" s="64"/>
      <c r="I232" s="65"/>
      <c r="J232" s="66"/>
      <c r="K232" s="67"/>
      <c r="L232" s="68"/>
      <c r="M232" s="69"/>
      <c r="N232" s="70"/>
      <c r="O232" s="71"/>
      <c r="P232" s="72"/>
      <c r="Q232" s="73"/>
      <c r="S232" s="64"/>
    </row>
    <row r="233" ht="15.75" customHeight="1">
      <c r="F233" s="64"/>
      <c r="I233" s="65"/>
      <c r="J233" s="66"/>
      <c r="K233" s="67"/>
      <c r="L233" s="68"/>
      <c r="M233" s="69"/>
      <c r="N233" s="70"/>
      <c r="O233" s="71"/>
      <c r="P233" s="72"/>
      <c r="Q233" s="73"/>
      <c r="S233" s="64"/>
    </row>
    <row r="234" ht="15.75" customHeight="1">
      <c r="F234" s="64"/>
      <c r="I234" s="65"/>
      <c r="J234" s="66"/>
      <c r="K234" s="67"/>
      <c r="L234" s="68"/>
      <c r="M234" s="69"/>
      <c r="N234" s="70"/>
      <c r="O234" s="71"/>
      <c r="P234" s="72"/>
      <c r="Q234" s="73"/>
      <c r="S234" s="64"/>
    </row>
    <row r="235" ht="15.75" customHeight="1">
      <c r="F235" s="64"/>
      <c r="I235" s="65"/>
      <c r="J235" s="66"/>
      <c r="K235" s="67"/>
      <c r="L235" s="68"/>
      <c r="M235" s="69"/>
      <c r="N235" s="70"/>
      <c r="O235" s="71"/>
      <c r="P235" s="72"/>
      <c r="Q235" s="73"/>
      <c r="S235" s="64"/>
    </row>
    <row r="236" ht="15.75" customHeight="1">
      <c r="F236" s="64"/>
      <c r="I236" s="65"/>
      <c r="J236" s="66"/>
      <c r="K236" s="67"/>
      <c r="L236" s="68"/>
      <c r="M236" s="69"/>
      <c r="N236" s="70"/>
      <c r="O236" s="71"/>
      <c r="P236" s="72"/>
      <c r="Q236" s="73"/>
      <c r="S236" s="64"/>
    </row>
    <row r="237" ht="15.75" customHeight="1">
      <c r="F237" s="64"/>
      <c r="I237" s="65"/>
      <c r="J237" s="66"/>
      <c r="K237" s="67"/>
      <c r="L237" s="68"/>
      <c r="M237" s="69"/>
      <c r="N237" s="70"/>
      <c r="O237" s="71"/>
      <c r="P237" s="72"/>
      <c r="Q237" s="73"/>
      <c r="S237" s="64"/>
    </row>
    <row r="238" ht="15.75" customHeight="1">
      <c r="F238" s="64"/>
      <c r="I238" s="65"/>
      <c r="J238" s="66"/>
      <c r="K238" s="67"/>
      <c r="L238" s="68"/>
      <c r="M238" s="69"/>
      <c r="N238" s="70"/>
      <c r="O238" s="71"/>
      <c r="P238" s="72"/>
      <c r="Q238" s="73"/>
      <c r="S238" s="64"/>
    </row>
    <row r="239" ht="15.75" customHeight="1">
      <c r="F239" s="64"/>
      <c r="I239" s="65"/>
      <c r="J239" s="66"/>
      <c r="K239" s="67"/>
      <c r="L239" s="68"/>
      <c r="M239" s="69"/>
      <c r="N239" s="70"/>
      <c r="O239" s="71"/>
      <c r="P239" s="72"/>
      <c r="Q239" s="73"/>
      <c r="S239" s="64"/>
    </row>
    <row r="240" ht="15.75" customHeight="1">
      <c r="F240" s="64"/>
      <c r="I240" s="65"/>
      <c r="J240" s="66"/>
      <c r="K240" s="67"/>
      <c r="L240" s="68"/>
      <c r="M240" s="69"/>
      <c r="N240" s="70"/>
      <c r="O240" s="71"/>
      <c r="P240" s="72"/>
      <c r="Q240" s="73"/>
      <c r="S240" s="64"/>
    </row>
    <row r="241" ht="15.75" customHeight="1">
      <c r="F241" s="64"/>
      <c r="I241" s="65"/>
      <c r="J241" s="66"/>
      <c r="K241" s="67"/>
      <c r="L241" s="68"/>
      <c r="M241" s="69"/>
      <c r="N241" s="70"/>
      <c r="O241" s="71"/>
      <c r="P241" s="72"/>
      <c r="Q241" s="73"/>
      <c r="S241" s="64"/>
    </row>
    <row r="242" ht="15.75" customHeight="1">
      <c r="F242" s="64"/>
      <c r="I242" s="65"/>
      <c r="J242" s="66"/>
      <c r="K242" s="67"/>
      <c r="L242" s="68"/>
      <c r="M242" s="69"/>
      <c r="N242" s="70"/>
      <c r="O242" s="71"/>
      <c r="P242" s="72"/>
      <c r="Q242" s="73"/>
      <c r="S242" s="64"/>
    </row>
    <row r="243" ht="15.75" customHeight="1">
      <c r="F243" s="64"/>
      <c r="I243" s="65"/>
      <c r="J243" s="66"/>
      <c r="K243" s="67"/>
      <c r="L243" s="68"/>
      <c r="M243" s="69"/>
      <c r="N243" s="70"/>
      <c r="O243" s="71"/>
      <c r="P243" s="72"/>
      <c r="Q243" s="73"/>
      <c r="S243" s="64"/>
    </row>
    <row r="244" ht="15.75" customHeight="1">
      <c r="F244" s="64"/>
      <c r="I244" s="65"/>
      <c r="J244" s="66"/>
      <c r="K244" s="67"/>
      <c r="L244" s="68"/>
      <c r="M244" s="69"/>
      <c r="N244" s="70"/>
      <c r="O244" s="71"/>
      <c r="P244" s="72"/>
      <c r="Q244" s="73"/>
      <c r="S244" s="64"/>
    </row>
    <row r="245" ht="15.75" customHeight="1">
      <c r="F245" s="64"/>
      <c r="I245" s="65"/>
      <c r="J245" s="66"/>
      <c r="K245" s="67"/>
      <c r="L245" s="68"/>
      <c r="M245" s="69"/>
      <c r="N245" s="70"/>
      <c r="O245" s="71"/>
      <c r="P245" s="72"/>
      <c r="Q245" s="73"/>
      <c r="S245" s="64"/>
    </row>
    <row r="246" ht="15.75" customHeight="1">
      <c r="F246" s="64"/>
      <c r="I246" s="65"/>
      <c r="J246" s="66"/>
      <c r="K246" s="67"/>
      <c r="L246" s="68"/>
      <c r="M246" s="69"/>
      <c r="N246" s="70"/>
      <c r="O246" s="71"/>
      <c r="P246" s="72"/>
      <c r="Q246" s="73"/>
      <c r="S246" s="64"/>
    </row>
    <row r="247" ht="15.75" customHeight="1">
      <c r="F247" s="64"/>
      <c r="I247" s="65"/>
      <c r="J247" s="66"/>
      <c r="K247" s="67"/>
      <c r="L247" s="68"/>
      <c r="M247" s="69"/>
      <c r="N247" s="70"/>
      <c r="O247" s="71"/>
      <c r="P247" s="72"/>
      <c r="Q247" s="73"/>
      <c r="S247" s="64"/>
    </row>
    <row r="248" ht="15.75" customHeight="1">
      <c r="F248" s="64"/>
      <c r="I248" s="65"/>
      <c r="J248" s="66"/>
      <c r="K248" s="67"/>
      <c r="L248" s="68"/>
      <c r="M248" s="69"/>
      <c r="N248" s="70"/>
      <c r="O248" s="71"/>
      <c r="P248" s="72"/>
      <c r="Q248" s="73"/>
      <c r="S248" s="64"/>
    </row>
    <row r="249" ht="15.75" customHeight="1">
      <c r="F249" s="64"/>
      <c r="I249" s="65"/>
      <c r="J249" s="66"/>
      <c r="K249" s="67"/>
      <c r="L249" s="68"/>
      <c r="M249" s="69"/>
      <c r="N249" s="70"/>
      <c r="O249" s="71"/>
      <c r="P249" s="72"/>
      <c r="Q249" s="73"/>
      <c r="S249" s="64"/>
    </row>
    <row r="250" ht="15.75" customHeight="1">
      <c r="F250" s="64"/>
      <c r="I250" s="65"/>
      <c r="J250" s="66"/>
      <c r="K250" s="67"/>
      <c r="L250" s="68"/>
      <c r="M250" s="69"/>
      <c r="N250" s="70"/>
      <c r="O250" s="71"/>
      <c r="P250" s="72"/>
      <c r="Q250" s="73"/>
      <c r="S250" s="64"/>
    </row>
    <row r="251" ht="15.75" customHeight="1">
      <c r="F251" s="64"/>
      <c r="I251" s="65"/>
      <c r="J251" s="66"/>
      <c r="K251" s="67"/>
      <c r="L251" s="68"/>
      <c r="M251" s="69"/>
      <c r="N251" s="70"/>
      <c r="O251" s="71"/>
      <c r="P251" s="72"/>
      <c r="Q251" s="73"/>
      <c r="S251" s="64"/>
    </row>
    <row r="252" ht="15.75" customHeight="1">
      <c r="F252" s="64"/>
      <c r="I252" s="65"/>
      <c r="J252" s="66"/>
      <c r="K252" s="67"/>
      <c r="L252" s="68"/>
      <c r="M252" s="69"/>
      <c r="N252" s="70"/>
      <c r="O252" s="71"/>
      <c r="P252" s="72"/>
      <c r="Q252" s="73"/>
      <c r="S252" s="64"/>
    </row>
    <row r="253" ht="15.75" customHeight="1">
      <c r="F253" s="64"/>
      <c r="I253" s="65"/>
      <c r="J253" s="66"/>
      <c r="K253" s="67"/>
      <c r="L253" s="68"/>
      <c r="M253" s="69"/>
      <c r="N253" s="70"/>
      <c r="O253" s="71"/>
      <c r="P253" s="72"/>
      <c r="Q253" s="73"/>
      <c r="S253" s="64"/>
    </row>
    <row r="254" ht="15.75" customHeight="1">
      <c r="F254" s="64"/>
      <c r="I254" s="65"/>
      <c r="J254" s="66"/>
      <c r="K254" s="67"/>
      <c r="L254" s="68"/>
      <c r="M254" s="69"/>
      <c r="N254" s="70"/>
      <c r="O254" s="71"/>
      <c r="P254" s="72"/>
      <c r="Q254" s="73"/>
      <c r="S254" s="64"/>
    </row>
    <row r="255" ht="15.75" customHeight="1">
      <c r="F255" s="64"/>
      <c r="I255" s="65"/>
      <c r="J255" s="66"/>
      <c r="K255" s="67"/>
      <c r="L255" s="68"/>
      <c r="M255" s="69"/>
      <c r="N255" s="70"/>
      <c r="O255" s="71"/>
      <c r="P255" s="72"/>
      <c r="Q255" s="73"/>
      <c r="S255" s="64"/>
    </row>
    <row r="256" ht="15.75" customHeight="1">
      <c r="F256" s="64"/>
      <c r="I256" s="65"/>
      <c r="J256" s="66"/>
      <c r="K256" s="67"/>
      <c r="L256" s="68"/>
      <c r="M256" s="69"/>
      <c r="N256" s="70"/>
      <c r="O256" s="71"/>
      <c r="P256" s="72"/>
      <c r="Q256" s="73"/>
      <c r="S256" s="64"/>
    </row>
    <row r="257" ht="15.75" customHeight="1">
      <c r="F257" s="64"/>
      <c r="I257" s="65"/>
      <c r="J257" s="66"/>
      <c r="K257" s="67"/>
      <c r="L257" s="68"/>
      <c r="M257" s="69"/>
      <c r="N257" s="70"/>
      <c r="O257" s="71"/>
      <c r="P257" s="72"/>
      <c r="Q257" s="73"/>
      <c r="S257" s="64"/>
    </row>
    <row r="258" ht="15.75" customHeight="1">
      <c r="F258" s="64"/>
      <c r="I258" s="65"/>
      <c r="J258" s="66"/>
      <c r="K258" s="67"/>
      <c r="L258" s="68"/>
      <c r="M258" s="69"/>
      <c r="N258" s="70"/>
      <c r="O258" s="71"/>
      <c r="P258" s="72"/>
      <c r="Q258" s="73"/>
      <c r="S258" s="64"/>
    </row>
    <row r="259" ht="15.75" customHeight="1">
      <c r="F259" s="64"/>
      <c r="I259" s="65"/>
      <c r="J259" s="66"/>
      <c r="K259" s="67"/>
      <c r="L259" s="68"/>
      <c r="M259" s="69"/>
      <c r="N259" s="70"/>
      <c r="O259" s="71"/>
      <c r="P259" s="72"/>
      <c r="Q259" s="73"/>
      <c r="S259" s="64"/>
    </row>
    <row r="260" ht="15.75" customHeight="1">
      <c r="F260" s="64"/>
      <c r="I260" s="65"/>
      <c r="J260" s="66"/>
      <c r="K260" s="67"/>
      <c r="L260" s="68"/>
      <c r="M260" s="69"/>
      <c r="N260" s="70"/>
      <c r="O260" s="71"/>
      <c r="P260" s="72"/>
      <c r="Q260" s="73"/>
      <c r="S260" s="64"/>
    </row>
    <row r="261" ht="15.75" customHeight="1">
      <c r="F261" s="64"/>
      <c r="I261" s="65"/>
      <c r="J261" s="66"/>
      <c r="K261" s="67"/>
      <c r="L261" s="68"/>
      <c r="M261" s="69"/>
      <c r="N261" s="70"/>
      <c r="O261" s="71"/>
      <c r="P261" s="72"/>
      <c r="Q261" s="73"/>
      <c r="S261" s="64"/>
    </row>
    <row r="262" ht="15.75" customHeight="1">
      <c r="F262" s="64"/>
      <c r="I262" s="65"/>
      <c r="J262" s="66"/>
      <c r="K262" s="67"/>
      <c r="L262" s="68"/>
      <c r="M262" s="69"/>
      <c r="N262" s="70"/>
      <c r="O262" s="71"/>
      <c r="P262" s="72"/>
      <c r="Q262" s="73"/>
      <c r="S262" s="64"/>
    </row>
    <row r="263" ht="15.75" customHeight="1">
      <c r="F263" s="64"/>
      <c r="I263" s="65"/>
      <c r="J263" s="66"/>
      <c r="K263" s="67"/>
      <c r="L263" s="68"/>
      <c r="M263" s="69"/>
      <c r="N263" s="70"/>
      <c r="O263" s="71"/>
      <c r="P263" s="72"/>
      <c r="Q263" s="73"/>
      <c r="S263" s="64"/>
    </row>
    <row r="264" ht="15.75" customHeight="1">
      <c r="F264" s="64"/>
      <c r="I264" s="65"/>
      <c r="J264" s="66"/>
      <c r="K264" s="67"/>
      <c r="L264" s="68"/>
      <c r="M264" s="69"/>
      <c r="N264" s="70"/>
      <c r="O264" s="71"/>
      <c r="P264" s="72"/>
      <c r="Q264" s="73"/>
      <c r="S264" s="64"/>
    </row>
    <row r="265" ht="15.75" customHeight="1">
      <c r="F265" s="64"/>
      <c r="I265" s="65"/>
      <c r="J265" s="66"/>
      <c r="K265" s="67"/>
      <c r="L265" s="68"/>
      <c r="M265" s="69"/>
      <c r="N265" s="70"/>
      <c r="O265" s="71"/>
      <c r="P265" s="72"/>
      <c r="Q265" s="73"/>
      <c r="S265" s="64"/>
    </row>
    <row r="266" ht="15.75" customHeight="1">
      <c r="F266" s="64"/>
      <c r="I266" s="65"/>
      <c r="J266" s="66"/>
      <c r="K266" s="67"/>
      <c r="L266" s="68"/>
      <c r="M266" s="69"/>
      <c r="N266" s="70"/>
      <c r="O266" s="71"/>
      <c r="P266" s="72"/>
      <c r="Q266" s="73"/>
      <c r="S266" s="64"/>
    </row>
    <row r="267" ht="15.75" customHeight="1">
      <c r="F267" s="64"/>
      <c r="I267" s="65"/>
      <c r="J267" s="66"/>
      <c r="K267" s="67"/>
      <c r="L267" s="68"/>
      <c r="M267" s="69"/>
      <c r="N267" s="70"/>
      <c r="O267" s="71"/>
      <c r="P267" s="72"/>
      <c r="Q267" s="73"/>
      <c r="S267" s="64"/>
    </row>
    <row r="268" ht="15.75" customHeight="1">
      <c r="F268" s="64"/>
      <c r="I268" s="65"/>
      <c r="J268" s="66"/>
      <c r="K268" s="67"/>
      <c r="L268" s="68"/>
      <c r="M268" s="69"/>
      <c r="N268" s="70"/>
      <c r="O268" s="71"/>
      <c r="P268" s="72"/>
      <c r="Q268" s="73"/>
      <c r="S268" s="64"/>
    </row>
    <row r="269" ht="15.75" customHeight="1">
      <c r="F269" s="64"/>
      <c r="I269" s="65"/>
      <c r="J269" s="66"/>
      <c r="K269" s="67"/>
      <c r="L269" s="68"/>
      <c r="M269" s="69"/>
      <c r="N269" s="70"/>
      <c r="O269" s="71"/>
      <c r="P269" s="72"/>
      <c r="Q269" s="73"/>
      <c r="S269" s="64"/>
    </row>
    <row r="270" ht="15.75" customHeight="1">
      <c r="F270" s="64"/>
      <c r="I270" s="65"/>
      <c r="J270" s="66"/>
      <c r="K270" s="67"/>
      <c r="L270" s="68"/>
      <c r="M270" s="69"/>
      <c r="N270" s="70"/>
      <c r="O270" s="71"/>
      <c r="P270" s="72"/>
      <c r="Q270" s="73"/>
      <c r="S270" s="64"/>
    </row>
    <row r="271" ht="15.75" customHeight="1">
      <c r="F271" s="64"/>
      <c r="I271" s="65"/>
      <c r="J271" s="66"/>
      <c r="K271" s="67"/>
      <c r="L271" s="68"/>
      <c r="M271" s="69"/>
      <c r="N271" s="70"/>
      <c r="O271" s="71"/>
      <c r="P271" s="72"/>
      <c r="Q271" s="73"/>
      <c r="S271" s="64"/>
    </row>
    <row r="272" ht="15.75" customHeight="1">
      <c r="F272" s="64"/>
      <c r="I272" s="65"/>
      <c r="J272" s="66"/>
      <c r="K272" s="67"/>
      <c r="L272" s="68"/>
      <c r="M272" s="69"/>
      <c r="N272" s="70"/>
      <c r="O272" s="71"/>
      <c r="P272" s="72"/>
      <c r="Q272" s="73"/>
      <c r="S272" s="64"/>
    </row>
    <row r="273" ht="15.75" customHeight="1">
      <c r="F273" s="64"/>
      <c r="I273" s="65"/>
      <c r="J273" s="66"/>
      <c r="K273" s="67"/>
      <c r="L273" s="68"/>
      <c r="M273" s="69"/>
      <c r="N273" s="70"/>
      <c r="O273" s="71"/>
      <c r="P273" s="72"/>
      <c r="Q273" s="73"/>
      <c r="S273" s="64"/>
    </row>
    <row r="274" ht="15.75" customHeight="1">
      <c r="F274" s="64"/>
      <c r="I274" s="65"/>
      <c r="J274" s="66"/>
      <c r="K274" s="67"/>
      <c r="L274" s="68"/>
      <c r="M274" s="69"/>
      <c r="N274" s="70"/>
      <c r="O274" s="71"/>
      <c r="P274" s="72"/>
      <c r="Q274" s="73"/>
      <c r="S274" s="64"/>
    </row>
    <row r="275" ht="15.75" customHeight="1">
      <c r="F275" s="64"/>
      <c r="I275" s="65"/>
      <c r="J275" s="66"/>
      <c r="K275" s="67"/>
      <c r="L275" s="68"/>
      <c r="M275" s="69"/>
      <c r="N275" s="70"/>
      <c r="O275" s="71"/>
      <c r="P275" s="72"/>
      <c r="Q275" s="73"/>
      <c r="S275" s="64"/>
    </row>
    <row r="276" ht="15.75" customHeight="1">
      <c r="F276" s="64"/>
      <c r="I276" s="65"/>
      <c r="J276" s="66"/>
      <c r="K276" s="67"/>
      <c r="L276" s="68"/>
      <c r="M276" s="69"/>
      <c r="N276" s="70"/>
      <c r="O276" s="71"/>
      <c r="P276" s="72"/>
      <c r="Q276" s="73"/>
      <c r="S276" s="64"/>
    </row>
    <row r="277" ht="15.75" customHeight="1">
      <c r="F277" s="64"/>
      <c r="I277" s="65"/>
      <c r="J277" s="66"/>
      <c r="K277" s="67"/>
      <c r="L277" s="68"/>
      <c r="M277" s="69"/>
      <c r="N277" s="70"/>
      <c r="O277" s="71"/>
      <c r="P277" s="72"/>
      <c r="Q277" s="73"/>
      <c r="S277" s="64"/>
    </row>
    <row r="278" ht="15.75" customHeight="1">
      <c r="F278" s="64"/>
      <c r="I278" s="65"/>
      <c r="J278" s="66"/>
      <c r="K278" s="67"/>
      <c r="L278" s="68"/>
      <c r="M278" s="69"/>
      <c r="N278" s="70"/>
      <c r="O278" s="71"/>
      <c r="P278" s="72"/>
      <c r="Q278" s="73"/>
      <c r="S278" s="64"/>
    </row>
    <row r="279" ht="15.75" customHeight="1">
      <c r="F279" s="64"/>
      <c r="I279" s="65"/>
      <c r="J279" s="66"/>
      <c r="K279" s="67"/>
      <c r="L279" s="68"/>
      <c r="M279" s="69"/>
      <c r="N279" s="70"/>
      <c r="O279" s="71"/>
      <c r="P279" s="72"/>
      <c r="Q279" s="73"/>
      <c r="S279" s="64"/>
    </row>
    <row r="280" ht="15.75" customHeight="1">
      <c r="F280" s="64"/>
      <c r="I280" s="65"/>
      <c r="J280" s="66"/>
      <c r="K280" s="67"/>
      <c r="L280" s="68"/>
      <c r="M280" s="69"/>
      <c r="N280" s="70"/>
      <c r="O280" s="71"/>
      <c r="P280" s="72"/>
      <c r="Q280" s="73"/>
      <c r="S280" s="64"/>
    </row>
    <row r="281" ht="15.75" customHeight="1">
      <c r="F281" s="64"/>
      <c r="I281" s="65"/>
      <c r="J281" s="66"/>
      <c r="K281" s="67"/>
      <c r="L281" s="68"/>
      <c r="M281" s="69"/>
      <c r="N281" s="70"/>
      <c r="O281" s="71"/>
      <c r="P281" s="72"/>
      <c r="Q281" s="73"/>
      <c r="S281" s="64"/>
    </row>
    <row r="282" ht="15.75" customHeight="1">
      <c r="F282" s="64"/>
      <c r="I282" s="65"/>
      <c r="J282" s="66"/>
      <c r="K282" s="67"/>
      <c r="L282" s="68"/>
      <c r="M282" s="69"/>
      <c r="N282" s="70"/>
      <c r="O282" s="71"/>
      <c r="P282" s="72"/>
      <c r="Q282" s="73"/>
      <c r="S282" s="64"/>
    </row>
    <row r="283" ht="15.75" customHeight="1">
      <c r="F283" s="64"/>
      <c r="I283" s="65"/>
      <c r="J283" s="66"/>
      <c r="K283" s="67"/>
      <c r="L283" s="68"/>
      <c r="M283" s="69"/>
      <c r="N283" s="70"/>
      <c r="O283" s="71"/>
      <c r="P283" s="72"/>
      <c r="Q283" s="73"/>
      <c r="S283" s="64"/>
    </row>
    <row r="284" ht="15.75" customHeight="1">
      <c r="F284" s="64"/>
      <c r="I284" s="65"/>
      <c r="J284" s="66"/>
      <c r="K284" s="67"/>
      <c r="L284" s="68"/>
      <c r="M284" s="69"/>
      <c r="N284" s="70"/>
      <c r="O284" s="71"/>
      <c r="P284" s="72"/>
      <c r="Q284" s="73"/>
      <c r="S284" s="64"/>
    </row>
    <row r="285" ht="15.75" customHeight="1">
      <c r="F285" s="64"/>
      <c r="I285" s="65"/>
      <c r="J285" s="66"/>
      <c r="K285" s="67"/>
      <c r="L285" s="68"/>
      <c r="M285" s="69"/>
      <c r="N285" s="70"/>
      <c r="O285" s="71"/>
      <c r="P285" s="72"/>
      <c r="Q285" s="73"/>
      <c r="S285" s="64"/>
    </row>
    <row r="286" ht="15.75" customHeight="1">
      <c r="F286" s="64"/>
      <c r="I286" s="65"/>
      <c r="J286" s="66"/>
      <c r="K286" s="67"/>
      <c r="L286" s="68"/>
      <c r="M286" s="69"/>
      <c r="N286" s="70"/>
      <c r="O286" s="71"/>
      <c r="P286" s="72"/>
      <c r="Q286" s="73"/>
      <c r="S286" s="64"/>
    </row>
    <row r="287" ht="15.75" customHeight="1">
      <c r="F287" s="64"/>
      <c r="I287" s="65"/>
      <c r="J287" s="66"/>
      <c r="K287" s="67"/>
      <c r="L287" s="68"/>
      <c r="M287" s="69"/>
      <c r="N287" s="70"/>
      <c r="O287" s="71"/>
      <c r="P287" s="72"/>
      <c r="Q287" s="73"/>
      <c r="S287" s="64"/>
    </row>
    <row r="288" ht="15.75" customHeight="1">
      <c r="F288" s="64"/>
      <c r="I288" s="65"/>
      <c r="J288" s="66"/>
      <c r="K288" s="67"/>
      <c r="L288" s="68"/>
      <c r="M288" s="69"/>
      <c r="N288" s="70"/>
      <c r="O288" s="71"/>
      <c r="P288" s="72"/>
      <c r="Q288" s="73"/>
      <c r="S288" s="64"/>
    </row>
    <row r="289" ht="15.75" customHeight="1">
      <c r="F289" s="64"/>
      <c r="I289" s="65"/>
      <c r="J289" s="66"/>
      <c r="K289" s="67"/>
      <c r="L289" s="68"/>
      <c r="M289" s="69"/>
      <c r="N289" s="70"/>
      <c r="O289" s="71"/>
      <c r="P289" s="72"/>
      <c r="Q289" s="73"/>
      <c r="S289" s="64"/>
    </row>
    <row r="290" ht="15.75" customHeight="1">
      <c r="F290" s="64"/>
      <c r="I290" s="65"/>
      <c r="J290" s="66"/>
      <c r="K290" s="67"/>
      <c r="L290" s="68"/>
      <c r="M290" s="69"/>
      <c r="N290" s="70"/>
      <c r="O290" s="71"/>
      <c r="P290" s="72"/>
      <c r="Q290" s="73"/>
      <c r="S290" s="64"/>
    </row>
    <row r="291" ht="15.75" customHeight="1">
      <c r="F291" s="64"/>
      <c r="I291" s="65"/>
      <c r="J291" s="66"/>
      <c r="K291" s="67"/>
      <c r="L291" s="68"/>
      <c r="M291" s="69"/>
      <c r="N291" s="70"/>
      <c r="O291" s="71"/>
      <c r="P291" s="72"/>
      <c r="Q291" s="73"/>
      <c r="S291" s="64"/>
    </row>
    <row r="292" ht="15.75" customHeight="1">
      <c r="F292" s="64"/>
      <c r="I292" s="65"/>
      <c r="J292" s="66"/>
      <c r="K292" s="67"/>
      <c r="L292" s="68"/>
      <c r="M292" s="69"/>
      <c r="N292" s="70"/>
      <c r="O292" s="71"/>
      <c r="P292" s="72"/>
      <c r="Q292" s="73"/>
      <c r="S292" s="64"/>
    </row>
    <row r="293" ht="15.75" customHeight="1">
      <c r="F293" s="64"/>
      <c r="I293" s="65"/>
      <c r="J293" s="66"/>
      <c r="K293" s="67"/>
      <c r="L293" s="68"/>
      <c r="M293" s="69"/>
      <c r="N293" s="70"/>
      <c r="O293" s="71"/>
      <c r="P293" s="72"/>
      <c r="Q293" s="73"/>
      <c r="S293" s="64"/>
    </row>
    <row r="294" ht="15.75" customHeight="1">
      <c r="F294" s="64"/>
      <c r="I294" s="65"/>
      <c r="J294" s="66"/>
      <c r="K294" s="67"/>
      <c r="L294" s="68"/>
      <c r="M294" s="69"/>
      <c r="N294" s="70"/>
      <c r="O294" s="71"/>
      <c r="P294" s="72"/>
      <c r="Q294" s="73"/>
      <c r="S294" s="64"/>
    </row>
    <row r="295" ht="15.75" customHeight="1">
      <c r="F295" s="64"/>
      <c r="I295" s="65"/>
      <c r="J295" s="66"/>
      <c r="K295" s="67"/>
      <c r="L295" s="68"/>
      <c r="M295" s="69"/>
      <c r="N295" s="70"/>
      <c r="O295" s="71"/>
      <c r="P295" s="72"/>
      <c r="Q295" s="73"/>
      <c r="S295" s="64"/>
    </row>
    <row r="296" ht="15.75" customHeight="1">
      <c r="F296" s="64"/>
      <c r="I296" s="65"/>
      <c r="J296" s="66"/>
      <c r="K296" s="67"/>
      <c r="L296" s="68"/>
      <c r="M296" s="69"/>
      <c r="N296" s="70"/>
      <c r="O296" s="71"/>
      <c r="P296" s="72"/>
      <c r="Q296" s="73"/>
      <c r="S296" s="64"/>
    </row>
    <row r="297" ht="15.75" customHeight="1">
      <c r="F297" s="64"/>
      <c r="I297" s="65"/>
      <c r="J297" s="66"/>
      <c r="K297" s="67"/>
      <c r="L297" s="68"/>
      <c r="M297" s="69"/>
      <c r="N297" s="70"/>
      <c r="O297" s="71"/>
      <c r="P297" s="72"/>
      <c r="Q297" s="73"/>
      <c r="S297" s="64"/>
    </row>
    <row r="298" ht="15.75" customHeight="1">
      <c r="F298" s="64"/>
      <c r="I298" s="65"/>
      <c r="J298" s="66"/>
      <c r="K298" s="67"/>
      <c r="L298" s="68"/>
      <c r="M298" s="69"/>
      <c r="N298" s="70"/>
      <c r="O298" s="71"/>
      <c r="P298" s="72"/>
      <c r="Q298" s="73"/>
      <c r="S298" s="64"/>
    </row>
    <row r="299" ht="15.75" customHeight="1">
      <c r="F299" s="64"/>
      <c r="I299" s="65"/>
      <c r="J299" s="66"/>
      <c r="K299" s="67"/>
      <c r="L299" s="68"/>
      <c r="M299" s="69"/>
      <c r="N299" s="70"/>
      <c r="O299" s="71"/>
      <c r="P299" s="72"/>
      <c r="Q299" s="73"/>
      <c r="S299" s="64"/>
    </row>
    <row r="300" ht="15.75" customHeight="1">
      <c r="F300" s="64"/>
      <c r="I300" s="65"/>
      <c r="J300" s="66"/>
      <c r="K300" s="67"/>
      <c r="L300" s="68"/>
      <c r="M300" s="69"/>
      <c r="N300" s="70"/>
      <c r="O300" s="71"/>
      <c r="P300" s="72"/>
      <c r="Q300" s="73"/>
      <c r="S300" s="64"/>
    </row>
    <row r="301" ht="15.75" customHeight="1">
      <c r="F301" s="64"/>
      <c r="I301" s="65"/>
      <c r="J301" s="66"/>
      <c r="K301" s="67"/>
      <c r="L301" s="68"/>
      <c r="M301" s="69"/>
      <c r="N301" s="70"/>
      <c r="O301" s="71"/>
      <c r="P301" s="72"/>
      <c r="Q301" s="73"/>
      <c r="S301" s="64"/>
    </row>
    <row r="302" ht="15.75" customHeight="1">
      <c r="F302" s="64"/>
      <c r="I302" s="65"/>
      <c r="J302" s="66"/>
      <c r="K302" s="67"/>
      <c r="L302" s="68"/>
      <c r="M302" s="69"/>
      <c r="N302" s="70"/>
      <c r="O302" s="71"/>
      <c r="P302" s="72"/>
      <c r="Q302" s="73"/>
      <c r="S302" s="64"/>
    </row>
    <row r="303" ht="15.75" customHeight="1">
      <c r="F303" s="64"/>
      <c r="I303" s="65"/>
      <c r="J303" s="66"/>
      <c r="K303" s="67"/>
      <c r="L303" s="68"/>
      <c r="M303" s="69"/>
      <c r="N303" s="70"/>
      <c r="O303" s="71"/>
      <c r="P303" s="72"/>
      <c r="Q303" s="73"/>
      <c r="S303" s="64"/>
    </row>
    <row r="304" ht="15.75" customHeight="1">
      <c r="F304" s="64"/>
      <c r="I304" s="65"/>
      <c r="J304" s="66"/>
      <c r="K304" s="67"/>
      <c r="L304" s="68"/>
      <c r="M304" s="69"/>
      <c r="N304" s="70"/>
      <c r="O304" s="71"/>
      <c r="P304" s="72"/>
      <c r="Q304" s="73"/>
      <c r="S304" s="64"/>
    </row>
    <row r="305" ht="15.75" customHeight="1">
      <c r="F305" s="64"/>
      <c r="I305" s="65"/>
      <c r="J305" s="66"/>
      <c r="K305" s="67"/>
      <c r="L305" s="68"/>
      <c r="M305" s="69"/>
      <c r="N305" s="70"/>
      <c r="O305" s="71"/>
      <c r="P305" s="72"/>
      <c r="Q305" s="73"/>
      <c r="S305" s="64"/>
    </row>
    <row r="306" ht="15.75" customHeight="1">
      <c r="F306" s="64"/>
      <c r="I306" s="65"/>
      <c r="J306" s="66"/>
      <c r="K306" s="67"/>
      <c r="L306" s="68"/>
      <c r="M306" s="69"/>
      <c r="N306" s="70"/>
      <c r="O306" s="71"/>
      <c r="P306" s="72"/>
      <c r="Q306" s="73"/>
      <c r="S306" s="64"/>
    </row>
    <row r="307" ht="15.75" customHeight="1">
      <c r="F307" s="64"/>
      <c r="I307" s="65"/>
      <c r="J307" s="66"/>
      <c r="K307" s="67"/>
      <c r="L307" s="68"/>
      <c r="M307" s="69"/>
      <c r="N307" s="70"/>
      <c r="O307" s="71"/>
      <c r="P307" s="72"/>
      <c r="Q307" s="73"/>
      <c r="S307" s="64"/>
    </row>
    <row r="308" ht="15.75" customHeight="1">
      <c r="F308" s="64"/>
      <c r="I308" s="65"/>
      <c r="J308" s="66"/>
      <c r="K308" s="67"/>
      <c r="L308" s="68"/>
      <c r="M308" s="69"/>
      <c r="N308" s="70"/>
      <c r="O308" s="71"/>
      <c r="P308" s="72"/>
      <c r="Q308" s="73"/>
      <c r="S308" s="64"/>
    </row>
    <row r="309" ht="15.75" customHeight="1">
      <c r="F309" s="64"/>
      <c r="I309" s="65"/>
      <c r="J309" s="66"/>
      <c r="K309" s="67"/>
      <c r="L309" s="68"/>
      <c r="M309" s="69"/>
      <c r="N309" s="70"/>
      <c r="O309" s="71"/>
      <c r="P309" s="72"/>
      <c r="Q309" s="73"/>
      <c r="S309" s="64"/>
    </row>
    <row r="310" ht="15.75" customHeight="1">
      <c r="F310" s="64"/>
      <c r="I310" s="65"/>
      <c r="J310" s="66"/>
      <c r="K310" s="67"/>
      <c r="L310" s="68"/>
      <c r="M310" s="69"/>
      <c r="N310" s="70"/>
      <c r="O310" s="71"/>
      <c r="P310" s="72"/>
      <c r="Q310" s="73"/>
      <c r="S310" s="64"/>
    </row>
    <row r="311" ht="15.75" customHeight="1">
      <c r="F311" s="64"/>
      <c r="I311" s="65"/>
      <c r="J311" s="66"/>
      <c r="K311" s="67"/>
      <c r="L311" s="68"/>
      <c r="M311" s="69"/>
      <c r="N311" s="70"/>
      <c r="O311" s="71"/>
      <c r="P311" s="72"/>
      <c r="Q311" s="73"/>
      <c r="S311" s="64"/>
    </row>
    <row r="312" ht="15.75" customHeight="1">
      <c r="F312" s="64"/>
      <c r="I312" s="65"/>
      <c r="J312" s="66"/>
      <c r="K312" s="67"/>
      <c r="L312" s="68"/>
      <c r="M312" s="69"/>
      <c r="N312" s="70"/>
      <c r="O312" s="71"/>
      <c r="P312" s="72"/>
      <c r="Q312" s="73"/>
      <c r="S312" s="64"/>
    </row>
    <row r="313" ht="15.75" customHeight="1">
      <c r="F313" s="64"/>
      <c r="I313" s="65"/>
      <c r="J313" s="66"/>
      <c r="K313" s="67"/>
      <c r="L313" s="68"/>
      <c r="M313" s="69"/>
      <c r="N313" s="70"/>
      <c r="O313" s="71"/>
      <c r="P313" s="72"/>
      <c r="Q313" s="73"/>
      <c r="S313" s="64"/>
    </row>
    <row r="314" ht="15.75" customHeight="1">
      <c r="F314" s="64"/>
      <c r="I314" s="65"/>
      <c r="J314" s="66"/>
      <c r="K314" s="67"/>
      <c r="L314" s="68"/>
      <c r="M314" s="69"/>
      <c r="N314" s="70"/>
      <c r="O314" s="71"/>
      <c r="P314" s="72"/>
      <c r="Q314" s="73"/>
      <c r="S314" s="64"/>
    </row>
    <row r="315" ht="15.75" customHeight="1">
      <c r="F315" s="64"/>
      <c r="I315" s="65"/>
      <c r="J315" s="66"/>
      <c r="K315" s="67"/>
      <c r="L315" s="68"/>
      <c r="M315" s="69"/>
      <c r="N315" s="70"/>
      <c r="O315" s="71"/>
      <c r="P315" s="72"/>
      <c r="Q315" s="73"/>
      <c r="S315" s="64"/>
    </row>
    <row r="316" ht="15.75" customHeight="1">
      <c r="F316" s="64"/>
      <c r="I316" s="65"/>
      <c r="J316" s="66"/>
      <c r="K316" s="67"/>
      <c r="L316" s="68"/>
      <c r="M316" s="69"/>
      <c r="N316" s="70"/>
      <c r="O316" s="71"/>
      <c r="P316" s="72"/>
      <c r="Q316" s="73"/>
      <c r="S316" s="64"/>
    </row>
    <row r="317" ht="15.75" customHeight="1">
      <c r="F317" s="64"/>
      <c r="I317" s="65"/>
      <c r="J317" s="66"/>
      <c r="K317" s="67"/>
      <c r="L317" s="68"/>
      <c r="M317" s="69"/>
      <c r="N317" s="70"/>
      <c r="O317" s="71"/>
      <c r="P317" s="72"/>
      <c r="Q317" s="73"/>
      <c r="S317" s="64"/>
    </row>
    <row r="318" ht="15.75" customHeight="1">
      <c r="F318" s="64"/>
      <c r="I318" s="65"/>
      <c r="J318" s="66"/>
      <c r="K318" s="67"/>
      <c r="L318" s="68"/>
      <c r="M318" s="69"/>
      <c r="N318" s="70"/>
      <c r="O318" s="71"/>
      <c r="P318" s="72"/>
      <c r="Q318" s="73"/>
      <c r="S318" s="64"/>
    </row>
    <row r="319" ht="15.75" customHeight="1">
      <c r="F319" s="64"/>
      <c r="I319" s="65"/>
      <c r="J319" s="66"/>
      <c r="K319" s="67"/>
      <c r="L319" s="68"/>
      <c r="M319" s="69"/>
      <c r="N319" s="70"/>
      <c r="O319" s="71"/>
      <c r="P319" s="72"/>
      <c r="Q319" s="73"/>
      <c r="S319" s="64"/>
    </row>
    <row r="320" ht="15.75" customHeight="1">
      <c r="F320" s="64"/>
      <c r="I320" s="65"/>
      <c r="J320" s="66"/>
      <c r="K320" s="67"/>
      <c r="L320" s="68"/>
      <c r="M320" s="69"/>
      <c r="N320" s="70"/>
      <c r="O320" s="71"/>
      <c r="P320" s="72"/>
      <c r="Q320" s="73"/>
      <c r="S320" s="64"/>
    </row>
    <row r="321" ht="15.75" customHeight="1">
      <c r="F321" s="64"/>
      <c r="I321" s="65"/>
      <c r="J321" s="66"/>
      <c r="K321" s="67"/>
      <c r="L321" s="68"/>
      <c r="M321" s="69"/>
      <c r="N321" s="70"/>
      <c r="O321" s="71"/>
      <c r="P321" s="72"/>
      <c r="Q321" s="73"/>
      <c r="S321" s="64"/>
    </row>
    <row r="322" ht="15.75" customHeight="1">
      <c r="F322" s="64"/>
      <c r="I322" s="65"/>
      <c r="J322" s="66"/>
      <c r="K322" s="67"/>
      <c r="L322" s="68"/>
      <c r="M322" s="69"/>
      <c r="N322" s="70"/>
      <c r="O322" s="71"/>
      <c r="P322" s="72"/>
      <c r="Q322" s="73"/>
      <c r="S322" s="64"/>
    </row>
    <row r="323" ht="15.75" customHeight="1">
      <c r="F323" s="64"/>
      <c r="I323" s="65"/>
      <c r="J323" s="66"/>
      <c r="K323" s="67"/>
      <c r="L323" s="68"/>
      <c r="M323" s="69"/>
      <c r="N323" s="70"/>
      <c r="O323" s="71"/>
      <c r="P323" s="72"/>
      <c r="Q323" s="73"/>
      <c r="S323" s="64"/>
    </row>
    <row r="324" ht="15.75" customHeight="1">
      <c r="F324" s="64"/>
      <c r="I324" s="65"/>
      <c r="J324" s="66"/>
      <c r="K324" s="67"/>
      <c r="L324" s="68"/>
      <c r="M324" s="69"/>
      <c r="N324" s="70"/>
      <c r="O324" s="71"/>
      <c r="P324" s="72"/>
      <c r="Q324" s="73"/>
      <c r="S324" s="64"/>
    </row>
    <row r="325" ht="15.75" customHeight="1">
      <c r="F325" s="64"/>
      <c r="I325" s="65"/>
      <c r="J325" s="66"/>
      <c r="K325" s="67"/>
      <c r="L325" s="68"/>
      <c r="M325" s="69"/>
      <c r="N325" s="70"/>
      <c r="O325" s="71"/>
      <c r="P325" s="72"/>
      <c r="Q325" s="73"/>
      <c r="S325" s="64"/>
    </row>
    <row r="326" ht="15.75" customHeight="1">
      <c r="F326" s="64"/>
      <c r="I326" s="65"/>
      <c r="J326" s="66"/>
      <c r="K326" s="67"/>
      <c r="L326" s="68"/>
      <c r="M326" s="69"/>
      <c r="N326" s="70"/>
      <c r="O326" s="71"/>
      <c r="P326" s="72"/>
      <c r="Q326" s="73"/>
      <c r="S326" s="64"/>
    </row>
    <row r="327" ht="15.75" customHeight="1">
      <c r="F327" s="64"/>
      <c r="I327" s="65"/>
      <c r="J327" s="66"/>
      <c r="K327" s="67"/>
      <c r="L327" s="68"/>
      <c r="M327" s="69"/>
      <c r="N327" s="70"/>
      <c r="O327" s="71"/>
      <c r="P327" s="72"/>
      <c r="Q327" s="73"/>
      <c r="S327" s="64"/>
    </row>
    <row r="328" ht="15.75" customHeight="1">
      <c r="F328" s="64"/>
      <c r="I328" s="65"/>
      <c r="J328" s="66"/>
      <c r="K328" s="67"/>
      <c r="L328" s="68"/>
      <c r="M328" s="69"/>
      <c r="N328" s="70"/>
      <c r="O328" s="71"/>
      <c r="P328" s="72"/>
      <c r="Q328" s="73"/>
      <c r="S328" s="64"/>
    </row>
    <row r="329" ht="15.75" customHeight="1">
      <c r="F329" s="64"/>
      <c r="I329" s="65"/>
      <c r="J329" s="66"/>
      <c r="K329" s="67"/>
      <c r="L329" s="68"/>
      <c r="M329" s="69"/>
      <c r="N329" s="70"/>
      <c r="O329" s="71"/>
      <c r="P329" s="72"/>
      <c r="Q329" s="73"/>
      <c r="S329" s="64"/>
    </row>
    <row r="330" ht="15.75" customHeight="1">
      <c r="F330" s="64"/>
      <c r="I330" s="65"/>
      <c r="J330" s="66"/>
      <c r="K330" s="67"/>
      <c r="L330" s="68"/>
      <c r="M330" s="69"/>
      <c r="N330" s="70"/>
      <c r="O330" s="71"/>
      <c r="P330" s="72"/>
      <c r="Q330" s="73"/>
      <c r="S330" s="64"/>
    </row>
    <row r="331" ht="15.75" customHeight="1">
      <c r="F331" s="64"/>
      <c r="I331" s="65"/>
      <c r="J331" s="66"/>
      <c r="K331" s="67"/>
      <c r="L331" s="68"/>
      <c r="M331" s="69"/>
      <c r="N331" s="70"/>
      <c r="O331" s="71"/>
      <c r="P331" s="72"/>
      <c r="Q331" s="73"/>
      <c r="S331" s="64"/>
    </row>
    <row r="332" ht="15.75" customHeight="1">
      <c r="F332" s="64"/>
      <c r="I332" s="65"/>
      <c r="J332" s="66"/>
      <c r="K332" s="67"/>
      <c r="L332" s="68"/>
      <c r="M332" s="69"/>
      <c r="N332" s="70"/>
      <c r="O332" s="71"/>
      <c r="P332" s="72"/>
      <c r="Q332" s="73"/>
      <c r="S332" s="64"/>
    </row>
    <row r="333" ht="15.75" customHeight="1">
      <c r="F333" s="64"/>
      <c r="I333" s="65"/>
      <c r="J333" s="66"/>
      <c r="K333" s="67"/>
      <c r="L333" s="68"/>
      <c r="M333" s="69"/>
      <c r="N333" s="70"/>
      <c r="O333" s="71"/>
      <c r="P333" s="72"/>
      <c r="Q333" s="73"/>
      <c r="S333" s="64"/>
    </row>
    <row r="334" ht="15.75" customHeight="1">
      <c r="F334" s="64"/>
      <c r="I334" s="65"/>
      <c r="J334" s="66"/>
      <c r="K334" s="67"/>
      <c r="L334" s="68"/>
      <c r="M334" s="69"/>
      <c r="N334" s="70"/>
      <c r="O334" s="71"/>
      <c r="P334" s="72"/>
      <c r="Q334" s="73"/>
      <c r="S334" s="64"/>
    </row>
    <row r="335" ht="15.75" customHeight="1">
      <c r="F335" s="64"/>
      <c r="I335" s="65"/>
      <c r="J335" s="66"/>
      <c r="K335" s="67"/>
      <c r="L335" s="68"/>
      <c r="M335" s="69"/>
      <c r="N335" s="70"/>
      <c r="O335" s="71"/>
      <c r="P335" s="72"/>
      <c r="Q335" s="73"/>
      <c r="S335" s="64"/>
    </row>
    <row r="336" ht="15.75" customHeight="1">
      <c r="F336" s="64"/>
      <c r="I336" s="65"/>
      <c r="J336" s="66"/>
      <c r="K336" s="67"/>
      <c r="L336" s="68"/>
      <c r="M336" s="69"/>
      <c r="N336" s="70"/>
      <c r="O336" s="71"/>
      <c r="P336" s="72"/>
      <c r="Q336" s="73"/>
      <c r="S336" s="64"/>
    </row>
    <row r="337" ht="15.75" customHeight="1">
      <c r="F337" s="64"/>
      <c r="I337" s="65"/>
      <c r="J337" s="66"/>
      <c r="K337" s="67"/>
      <c r="L337" s="68"/>
      <c r="M337" s="69"/>
      <c r="N337" s="70"/>
      <c r="O337" s="71"/>
      <c r="P337" s="72"/>
      <c r="Q337" s="73"/>
      <c r="S337" s="64"/>
    </row>
    <row r="338" ht="15.75" customHeight="1">
      <c r="F338" s="64"/>
      <c r="I338" s="65"/>
      <c r="J338" s="66"/>
      <c r="K338" s="67"/>
      <c r="L338" s="68"/>
      <c r="M338" s="69"/>
      <c r="N338" s="70"/>
      <c r="O338" s="71"/>
      <c r="P338" s="72"/>
      <c r="Q338" s="73"/>
      <c r="S338" s="64"/>
    </row>
    <row r="339" ht="15.75" customHeight="1">
      <c r="F339" s="64"/>
      <c r="I339" s="65"/>
      <c r="J339" s="66"/>
      <c r="K339" s="67"/>
      <c r="L339" s="68"/>
      <c r="M339" s="69"/>
      <c r="N339" s="70"/>
      <c r="O339" s="71"/>
      <c r="P339" s="72"/>
      <c r="Q339" s="73"/>
      <c r="S339" s="64"/>
    </row>
    <row r="340" ht="15.75" customHeight="1">
      <c r="F340" s="64"/>
      <c r="I340" s="65"/>
      <c r="J340" s="66"/>
      <c r="K340" s="67"/>
      <c r="L340" s="68"/>
      <c r="M340" s="69"/>
      <c r="N340" s="70"/>
      <c r="O340" s="71"/>
      <c r="P340" s="72"/>
      <c r="Q340" s="73"/>
      <c r="S340" s="64"/>
    </row>
    <row r="341" ht="15.75" customHeight="1">
      <c r="F341" s="64"/>
      <c r="I341" s="65"/>
      <c r="J341" s="66"/>
      <c r="K341" s="67"/>
      <c r="L341" s="68"/>
      <c r="M341" s="69"/>
      <c r="N341" s="70"/>
      <c r="O341" s="71"/>
      <c r="P341" s="72"/>
      <c r="Q341" s="73"/>
      <c r="S341" s="64"/>
    </row>
    <row r="342" ht="15.75" customHeight="1">
      <c r="F342" s="64"/>
      <c r="I342" s="65"/>
      <c r="J342" s="66"/>
      <c r="K342" s="67"/>
      <c r="L342" s="68"/>
      <c r="M342" s="69"/>
      <c r="N342" s="70"/>
      <c r="O342" s="71"/>
      <c r="P342" s="72"/>
      <c r="Q342" s="73"/>
      <c r="S342" s="64"/>
    </row>
    <row r="343" ht="15.75" customHeight="1">
      <c r="F343" s="64"/>
      <c r="I343" s="65"/>
      <c r="J343" s="66"/>
      <c r="K343" s="67"/>
      <c r="L343" s="68"/>
      <c r="M343" s="69"/>
      <c r="N343" s="70"/>
      <c r="O343" s="71"/>
      <c r="P343" s="72"/>
      <c r="Q343" s="73"/>
      <c r="S343" s="64"/>
    </row>
    <row r="344" ht="15.75" customHeight="1">
      <c r="F344" s="64"/>
      <c r="I344" s="65"/>
      <c r="J344" s="66"/>
      <c r="K344" s="67"/>
      <c r="L344" s="68"/>
      <c r="M344" s="69"/>
      <c r="N344" s="70"/>
      <c r="O344" s="71"/>
      <c r="P344" s="72"/>
      <c r="Q344" s="73"/>
      <c r="S344" s="64"/>
    </row>
    <row r="345" ht="15.75" customHeight="1">
      <c r="F345" s="64"/>
      <c r="I345" s="65"/>
      <c r="J345" s="66"/>
      <c r="K345" s="67"/>
      <c r="L345" s="68"/>
      <c r="M345" s="69"/>
      <c r="N345" s="70"/>
      <c r="O345" s="71"/>
      <c r="P345" s="72"/>
      <c r="Q345" s="73"/>
      <c r="S345" s="64"/>
    </row>
    <row r="346" ht="15.75" customHeight="1">
      <c r="F346" s="64"/>
      <c r="I346" s="65"/>
      <c r="J346" s="66"/>
      <c r="K346" s="67"/>
      <c r="L346" s="68"/>
      <c r="M346" s="69"/>
      <c r="N346" s="70"/>
      <c r="O346" s="71"/>
      <c r="P346" s="72"/>
      <c r="Q346" s="73"/>
      <c r="S346" s="64"/>
    </row>
    <row r="347" ht="15.75" customHeight="1">
      <c r="F347" s="64"/>
      <c r="I347" s="65"/>
      <c r="J347" s="66"/>
      <c r="K347" s="67"/>
      <c r="L347" s="68"/>
      <c r="M347" s="69"/>
      <c r="N347" s="70"/>
      <c r="O347" s="71"/>
      <c r="P347" s="72"/>
      <c r="Q347" s="73"/>
      <c r="S347" s="64"/>
    </row>
    <row r="348" ht="15.75" customHeight="1">
      <c r="F348" s="64"/>
      <c r="I348" s="65"/>
      <c r="J348" s="66"/>
      <c r="K348" s="67"/>
      <c r="L348" s="68"/>
      <c r="M348" s="69"/>
      <c r="N348" s="70"/>
      <c r="O348" s="71"/>
      <c r="P348" s="72"/>
      <c r="Q348" s="73"/>
      <c r="S348" s="64"/>
    </row>
    <row r="349" ht="15.75" customHeight="1">
      <c r="F349" s="64"/>
      <c r="I349" s="65"/>
      <c r="J349" s="66"/>
      <c r="K349" s="67"/>
      <c r="L349" s="68"/>
      <c r="M349" s="69"/>
      <c r="N349" s="70"/>
      <c r="O349" s="71"/>
      <c r="P349" s="72"/>
      <c r="Q349" s="73"/>
      <c r="S349" s="64"/>
    </row>
    <row r="350" ht="15.75" customHeight="1">
      <c r="F350" s="64"/>
      <c r="I350" s="65"/>
      <c r="J350" s="66"/>
      <c r="K350" s="67"/>
      <c r="L350" s="68"/>
      <c r="M350" s="69"/>
      <c r="N350" s="70"/>
      <c r="O350" s="71"/>
      <c r="P350" s="72"/>
      <c r="Q350" s="73"/>
      <c r="S350" s="64"/>
    </row>
    <row r="351" ht="15.75" customHeight="1">
      <c r="F351" s="64"/>
      <c r="I351" s="65"/>
      <c r="J351" s="66"/>
      <c r="K351" s="67"/>
      <c r="L351" s="68"/>
      <c r="M351" s="69"/>
      <c r="N351" s="70"/>
      <c r="O351" s="71"/>
      <c r="P351" s="72"/>
      <c r="Q351" s="73"/>
      <c r="S351" s="64"/>
    </row>
    <row r="352" ht="15.75" customHeight="1">
      <c r="F352" s="64"/>
      <c r="I352" s="65"/>
      <c r="J352" s="66"/>
      <c r="K352" s="67"/>
      <c r="L352" s="68"/>
      <c r="M352" s="69"/>
      <c r="N352" s="70"/>
      <c r="O352" s="71"/>
      <c r="P352" s="72"/>
      <c r="Q352" s="73"/>
      <c r="S352" s="64"/>
    </row>
    <row r="353" ht="15.75" customHeight="1">
      <c r="F353" s="64"/>
      <c r="I353" s="65"/>
      <c r="J353" s="66"/>
      <c r="K353" s="67"/>
      <c r="L353" s="68"/>
      <c r="M353" s="69"/>
      <c r="N353" s="70"/>
      <c r="O353" s="71"/>
      <c r="P353" s="72"/>
      <c r="Q353" s="73"/>
      <c r="S353" s="64"/>
    </row>
    <row r="354" ht="15.75" customHeight="1">
      <c r="F354" s="64"/>
      <c r="I354" s="65"/>
      <c r="J354" s="66"/>
      <c r="K354" s="67"/>
      <c r="L354" s="68"/>
      <c r="M354" s="69"/>
      <c r="N354" s="70"/>
      <c r="O354" s="71"/>
      <c r="P354" s="72"/>
      <c r="Q354" s="73"/>
      <c r="S354" s="64"/>
    </row>
    <row r="355" ht="15.75" customHeight="1">
      <c r="F355" s="64"/>
      <c r="I355" s="65"/>
      <c r="J355" s="66"/>
      <c r="K355" s="67"/>
      <c r="L355" s="68"/>
      <c r="M355" s="69"/>
      <c r="N355" s="70"/>
      <c r="O355" s="71"/>
      <c r="P355" s="72"/>
      <c r="Q355" s="73"/>
      <c r="S355" s="64"/>
    </row>
    <row r="356" ht="15.75" customHeight="1">
      <c r="F356" s="64"/>
      <c r="I356" s="65"/>
      <c r="J356" s="66"/>
      <c r="K356" s="67"/>
      <c r="L356" s="68"/>
      <c r="M356" s="69"/>
      <c r="N356" s="70"/>
      <c r="O356" s="71"/>
      <c r="P356" s="72"/>
      <c r="Q356" s="73"/>
      <c r="S356" s="64"/>
    </row>
    <row r="357" ht="15.75" customHeight="1">
      <c r="F357" s="64"/>
      <c r="I357" s="65"/>
      <c r="J357" s="66"/>
      <c r="K357" s="67"/>
      <c r="L357" s="68"/>
      <c r="M357" s="69"/>
      <c r="N357" s="70"/>
      <c r="O357" s="71"/>
      <c r="P357" s="72"/>
      <c r="Q357" s="73"/>
      <c r="S357" s="64"/>
    </row>
    <row r="358" ht="15.75" customHeight="1">
      <c r="F358" s="64"/>
      <c r="I358" s="65"/>
      <c r="J358" s="66"/>
      <c r="K358" s="67"/>
      <c r="L358" s="68"/>
      <c r="M358" s="69"/>
      <c r="N358" s="70"/>
      <c r="O358" s="71"/>
      <c r="P358" s="72"/>
      <c r="Q358" s="73"/>
      <c r="S358" s="64"/>
    </row>
    <row r="359" ht="15.75" customHeight="1">
      <c r="F359" s="64"/>
      <c r="I359" s="65"/>
      <c r="J359" s="66"/>
      <c r="K359" s="67"/>
      <c r="L359" s="68"/>
      <c r="M359" s="69"/>
      <c r="N359" s="70"/>
      <c r="O359" s="71"/>
      <c r="P359" s="72"/>
      <c r="Q359" s="73"/>
      <c r="S359" s="64"/>
    </row>
    <row r="360" ht="15.75" customHeight="1">
      <c r="F360" s="64"/>
      <c r="I360" s="65"/>
      <c r="J360" s="66"/>
      <c r="K360" s="67"/>
      <c r="L360" s="68"/>
      <c r="M360" s="69"/>
      <c r="N360" s="70"/>
      <c r="O360" s="71"/>
      <c r="P360" s="72"/>
      <c r="Q360" s="73"/>
      <c r="S360" s="64"/>
    </row>
    <row r="361" ht="15.75" customHeight="1">
      <c r="F361" s="64"/>
      <c r="I361" s="65"/>
      <c r="J361" s="66"/>
      <c r="K361" s="67"/>
      <c r="L361" s="68"/>
      <c r="M361" s="69"/>
      <c r="N361" s="70"/>
      <c r="O361" s="71"/>
      <c r="P361" s="72"/>
      <c r="Q361" s="73"/>
      <c r="S361" s="64"/>
    </row>
    <row r="362" ht="15.75" customHeight="1">
      <c r="F362" s="64"/>
      <c r="I362" s="65"/>
      <c r="J362" s="66"/>
      <c r="K362" s="67"/>
      <c r="L362" s="68"/>
      <c r="M362" s="69"/>
      <c r="N362" s="70"/>
      <c r="O362" s="71"/>
      <c r="P362" s="72"/>
      <c r="Q362" s="73"/>
      <c r="S362" s="64"/>
    </row>
    <row r="363" ht="15.75" customHeight="1">
      <c r="F363" s="64"/>
      <c r="I363" s="65"/>
      <c r="J363" s="66"/>
      <c r="K363" s="67"/>
      <c r="L363" s="68"/>
      <c r="M363" s="69"/>
      <c r="N363" s="70"/>
      <c r="O363" s="71"/>
      <c r="P363" s="72"/>
      <c r="Q363" s="73"/>
      <c r="S363" s="64"/>
    </row>
    <row r="364" ht="15.75" customHeight="1">
      <c r="F364" s="64"/>
      <c r="I364" s="65"/>
      <c r="J364" s="66"/>
      <c r="K364" s="67"/>
      <c r="L364" s="68"/>
      <c r="M364" s="69"/>
      <c r="N364" s="70"/>
      <c r="O364" s="71"/>
      <c r="P364" s="72"/>
      <c r="Q364" s="73"/>
      <c r="S364" s="64"/>
    </row>
    <row r="365" ht="15.75" customHeight="1">
      <c r="F365" s="64"/>
      <c r="I365" s="65"/>
      <c r="J365" s="66"/>
      <c r="K365" s="67"/>
      <c r="L365" s="68"/>
      <c r="M365" s="69"/>
      <c r="N365" s="70"/>
      <c r="O365" s="71"/>
      <c r="P365" s="72"/>
      <c r="Q365" s="73"/>
      <c r="S365" s="64"/>
    </row>
    <row r="366" ht="15.75" customHeight="1">
      <c r="F366" s="64"/>
      <c r="I366" s="65"/>
      <c r="J366" s="66"/>
      <c r="K366" s="67"/>
      <c r="L366" s="68"/>
      <c r="M366" s="69"/>
      <c r="N366" s="70"/>
      <c r="O366" s="71"/>
      <c r="P366" s="72"/>
      <c r="Q366" s="73"/>
      <c r="S366" s="64"/>
    </row>
    <row r="367" ht="15.75" customHeight="1">
      <c r="F367" s="64"/>
      <c r="I367" s="65"/>
      <c r="J367" s="66"/>
      <c r="K367" s="67"/>
      <c r="L367" s="68"/>
      <c r="M367" s="69"/>
      <c r="N367" s="70"/>
      <c r="O367" s="71"/>
      <c r="P367" s="72"/>
      <c r="Q367" s="73"/>
      <c r="S367" s="64"/>
    </row>
    <row r="368" ht="15.75" customHeight="1">
      <c r="F368" s="64"/>
      <c r="I368" s="65"/>
      <c r="J368" s="66"/>
      <c r="K368" s="67"/>
      <c r="L368" s="68"/>
      <c r="M368" s="69"/>
      <c r="N368" s="70"/>
      <c r="O368" s="71"/>
      <c r="P368" s="72"/>
      <c r="Q368" s="73"/>
      <c r="S368" s="64"/>
    </row>
    <row r="369" ht="15.75" customHeight="1">
      <c r="F369" s="64"/>
      <c r="I369" s="65"/>
      <c r="J369" s="66"/>
      <c r="K369" s="67"/>
      <c r="L369" s="68"/>
      <c r="M369" s="69"/>
      <c r="N369" s="70"/>
      <c r="O369" s="71"/>
      <c r="P369" s="72"/>
      <c r="Q369" s="73"/>
      <c r="S369" s="64"/>
    </row>
    <row r="370" ht="15.75" customHeight="1">
      <c r="F370" s="64"/>
      <c r="I370" s="65"/>
      <c r="J370" s="66"/>
      <c r="K370" s="67"/>
      <c r="L370" s="68"/>
      <c r="M370" s="69"/>
      <c r="N370" s="70"/>
      <c r="O370" s="71"/>
      <c r="P370" s="72"/>
      <c r="Q370" s="73"/>
      <c r="S370" s="64"/>
    </row>
    <row r="371" ht="15.75" customHeight="1">
      <c r="F371" s="64"/>
      <c r="I371" s="65"/>
      <c r="J371" s="66"/>
      <c r="K371" s="67"/>
      <c r="L371" s="68"/>
      <c r="M371" s="69"/>
      <c r="N371" s="70"/>
      <c r="O371" s="71"/>
      <c r="P371" s="72"/>
      <c r="Q371" s="73"/>
      <c r="S371" s="64"/>
    </row>
    <row r="372" ht="15.75" customHeight="1">
      <c r="F372" s="64"/>
      <c r="I372" s="65"/>
      <c r="J372" s="66"/>
      <c r="K372" s="67"/>
      <c r="L372" s="68"/>
      <c r="M372" s="69"/>
      <c r="N372" s="70"/>
      <c r="O372" s="71"/>
      <c r="P372" s="72"/>
      <c r="Q372" s="73"/>
      <c r="S372" s="64"/>
    </row>
    <row r="373" ht="15.75" customHeight="1">
      <c r="F373" s="64"/>
      <c r="I373" s="65"/>
      <c r="J373" s="66"/>
      <c r="K373" s="67"/>
      <c r="L373" s="68"/>
      <c r="M373" s="69"/>
      <c r="N373" s="70"/>
      <c r="O373" s="71"/>
      <c r="P373" s="72"/>
      <c r="Q373" s="73"/>
      <c r="S373" s="64"/>
    </row>
    <row r="374" ht="15.75" customHeight="1">
      <c r="F374" s="64"/>
      <c r="I374" s="65"/>
      <c r="J374" s="66"/>
      <c r="K374" s="67"/>
      <c r="L374" s="68"/>
      <c r="M374" s="69"/>
      <c r="N374" s="70"/>
      <c r="O374" s="71"/>
      <c r="P374" s="72"/>
      <c r="Q374" s="73"/>
      <c r="S374" s="64"/>
    </row>
    <row r="375" ht="15.75" customHeight="1">
      <c r="F375" s="64"/>
      <c r="I375" s="65"/>
      <c r="J375" s="66"/>
      <c r="K375" s="67"/>
      <c r="L375" s="68"/>
      <c r="M375" s="69"/>
      <c r="N375" s="70"/>
      <c r="O375" s="71"/>
      <c r="P375" s="72"/>
      <c r="Q375" s="73"/>
      <c r="S375" s="64"/>
    </row>
    <row r="376" ht="15.75" customHeight="1">
      <c r="F376" s="64"/>
      <c r="I376" s="65"/>
      <c r="J376" s="66"/>
      <c r="K376" s="67"/>
      <c r="L376" s="68"/>
      <c r="M376" s="69"/>
      <c r="N376" s="70"/>
      <c r="O376" s="71"/>
      <c r="P376" s="72"/>
      <c r="Q376" s="73"/>
      <c r="S376" s="64"/>
    </row>
    <row r="377" ht="15.75" customHeight="1">
      <c r="F377" s="64"/>
      <c r="I377" s="65"/>
      <c r="J377" s="66"/>
      <c r="K377" s="67"/>
      <c r="L377" s="68"/>
      <c r="M377" s="69"/>
      <c r="N377" s="70"/>
      <c r="O377" s="71"/>
      <c r="P377" s="72"/>
      <c r="Q377" s="73"/>
      <c r="S377" s="64"/>
    </row>
    <row r="378" ht="15.75" customHeight="1">
      <c r="F378" s="64"/>
      <c r="I378" s="65"/>
      <c r="J378" s="66"/>
      <c r="K378" s="67"/>
      <c r="L378" s="68"/>
      <c r="M378" s="69"/>
      <c r="N378" s="70"/>
      <c r="O378" s="71"/>
      <c r="P378" s="72"/>
      <c r="Q378" s="73"/>
      <c r="S378" s="64"/>
    </row>
    <row r="379" ht="15.75" customHeight="1">
      <c r="F379" s="64"/>
      <c r="I379" s="65"/>
      <c r="J379" s="66"/>
      <c r="K379" s="67"/>
      <c r="L379" s="68"/>
      <c r="M379" s="69"/>
      <c r="N379" s="70"/>
      <c r="O379" s="71"/>
      <c r="P379" s="72"/>
      <c r="Q379" s="73"/>
      <c r="S379" s="64"/>
    </row>
    <row r="380" ht="15.75" customHeight="1">
      <c r="F380" s="64"/>
      <c r="I380" s="65"/>
      <c r="J380" s="66"/>
      <c r="K380" s="67"/>
      <c r="L380" s="68"/>
      <c r="M380" s="69"/>
      <c r="N380" s="70"/>
      <c r="O380" s="71"/>
      <c r="P380" s="72"/>
      <c r="Q380" s="73"/>
      <c r="S380" s="64"/>
    </row>
    <row r="381" ht="15.75" customHeight="1">
      <c r="F381" s="64"/>
      <c r="I381" s="65"/>
      <c r="J381" s="66"/>
      <c r="K381" s="67"/>
      <c r="L381" s="68"/>
      <c r="M381" s="69"/>
      <c r="N381" s="70"/>
      <c r="O381" s="71"/>
      <c r="P381" s="72"/>
      <c r="Q381" s="73"/>
      <c r="S381" s="64"/>
    </row>
    <row r="382" ht="15.75" customHeight="1">
      <c r="F382" s="64"/>
      <c r="I382" s="65"/>
      <c r="J382" s="66"/>
      <c r="K382" s="67"/>
      <c r="L382" s="68"/>
      <c r="M382" s="69"/>
      <c r="N382" s="70"/>
      <c r="O382" s="71"/>
      <c r="P382" s="72"/>
      <c r="Q382" s="73"/>
      <c r="S382" s="64"/>
    </row>
    <row r="383" ht="15.75" customHeight="1">
      <c r="F383" s="64"/>
      <c r="I383" s="65"/>
      <c r="J383" s="66"/>
      <c r="K383" s="67"/>
      <c r="L383" s="68"/>
      <c r="M383" s="69"/>
      <c r="N383" s="70"/>
      <c r="O383" s="71"/>
      <c r="P383" s="72"/>
      <c r="Q383" s="73"/>
      <c r="S383" s="64"/>
    </row>
    <row r="384" ht="15.75" customHeight="1">
      <c r="F384" s="64"/>
      <c r="I384" s="65"/>
      <c r="J384" s="66"/>
      <c r="K384" s="67"/>
      <c r="L384" s="68"/>
      <c r="M384" s="69"/>
      <c r="N384" s="70"/>
      <c r="O384" s="71"/>
      <c r="P384" s="72"/>
      <c r="Q384" s="73"/>
      <c r="S384" s="64"/>
    </row>
    <row r="385" ht="15.75" customHeight="1">
      <c r="F385" s="64"/>
      <c r="I385" s="65"/>
      <c r="J385" s="66"/>
      <c r="K385" s="67"/>
      <c r="L385" s="68"/>
      <c r="M385" s="69"/>
      <c r="N385" s="70"/>
      <c r="O385" s="71"/>
      <c r="P385" s="72"/>
      <c r="Q385" s="73"/>
      <c r="S385" s="64"/>
    </row>
    <row r="386" ht="15.75" customHeight="1">
      <c r="F386" s="64"/>
      <c r="I386" s="65"/>
      <c r="J386" s="66"/>
      <c r="K386" s="67"/>
      <c r="L386" s="68"/>
      <c r="M386" s="69"/>
      <c r="N386" s="70"/>
      <c r="O386" s="71"/>
      <c r="P386" s="72"/>
      <c r="Q386" s="73"/>
      <c r="S386" s="64"/>
    </row>
    <row r="387" ht="15.75" customHeight="1">
      <c r="F387" s="64"/>
      <c r="I387" s="65"/>
      <c r="J387" s="66"/>
      <c r="K387" s="67"/>
      <c r="L387" s="68"/>
      <c r="M387" s="69"/>
      <c r="N387" s="70"/>
      <c r="O387" s="71"/>
      <c r="P387" s="72"/>
      <c r="Q387" s="73"/>
      <c r="S387" s="64"/>
    </row>
    <row r="388" ht="15.75" customHeight="1">
      <c r="F388" s="64"/>
      <c r="I388" s="65"/>
      <c r="J388" s="66"/>
      <c r="K388" s="67"/>
      <c r="L388" s="68"/>
      <c r="M388" s="69"/>
      <c r="N388" s="70"/>
      <c r="O388" s="71"/>
      <c r="P388" s="72"/>
      <c r="Q388" s="73"/>
      <c r="S388" s="64"/>
    </row>
    <row r="389" ht="15.75" customHeight="1">
      <c r="F389" s="64"/>
      <c r="I389" s="65"/>
      <c r="J389" s="66"/>
      <c r="K389" s="67"/>
      <c r="L389" s="68"/>
      <c r="M389" s="69"/>
      <c r="N389" s="70"/>
      <c r="O389" s="71"/>
      <c r="P389" s="72"/>
      <c r="Q389" s="73"/>
      <c r="S389" s="64"/>
    </row>
    <row r="390" ht="15.75" customHeight="1">
      <c r="F390" s="64"/>
      <c r="I390" s="65"/>
      <c r="J390" s="66"/>
      <c r="K390" s="67"/>
      <c r="L390" s="68"/>
      <c r="M390" s="69"/>
      <c r="N390" s="70"/>
      <c r="O390" s="71"/>
      <c r="P390" s="72"/>
      <c r="Q390" s="73"/>
      <c r="S390" s="64"/>
    </row>
    <row r="391" ht="15.75" customHeight="1">
      <c r="F391" s="64"/>
      <c r="I391" s="65"/>
      <c r="J391" s="66"/>
      <c r="K391" s="67"/>
      <c r="L391" s="68"/>
      <c r="M391" s="69"/>
      <c r="N391" s="70"/>
      <c r="O391" s="71"/>
      <c r="P391" s="72"/>
      <c r="Q391" s="73"/>
      <c r="S391" s="64"/>
    </row>
    <row r="392" ht="15.75" customHeight="1">
      <c r="F392" s="64"/>
      <c r="I392" s="65"/>
      <c r="J392" s="66"/>
      <c r="K392" s="67"/>
      <c r="L392" s="68"/>
      <c r="M392" s="69"/>
      <c r="N392" s="70"/>
      <c r="O392" s="71"/>
      <c r="P392" s="72"/>
      <c r="Q392" s="73"/>
      <c r="S392" s="64"/>
    </row>
    <row r="393" ht="15.75" customHeight="1">
      <c r="F393" s="64"/>
      <c r="I393" s="65"/>
      <c r="J393" s="66"/>
      <c r="K393" s="67"/>
      <c r="L393" s="68"/>
      <c r="M393" s="69"/>
      <c r="N393" s="70"/>
      <c r="O393" s="71"/>
      <c r="P393" s="72"/>
      <c r="Q393" s="73"/>
      <c r="S393" s="64"/>
    </row>
    <row r="394" ht="15.75" customHeight="1">
      <c r="F394" s="64"/>
      <c r="I394" s="65"/>
      <c r="J394" s="66"/>
      <c r="K394" s="67"/>
      <c r="L394" s="68"/>
      <c r="M394" s="69"/>
      <c r="N394" s="70"/>
      <c r="O394" s="71"/>
      <c r="P394" s="72"/>
      <c r="Q394" s="73"/>
      <c r="S394" s="64"/>
    </row>
    <row r="395" ht="15.75" customHeight="1">
      <c r="F395" s="64"/>
      <c r="I395" s="65"/>
      <c r="J395" s="66"/>
      <c r="K395" s="67"/>
      <c r="L395" s="68"/>
      <c r="M395" s="69"/>
      <c r="N395" s="70"/>
      <c r="O395" s="71"/>
      <c r="P395" s="72"/>
      <c r="Q395" s="73"/>
      <c r="S395" s="64"/>
    </row>
    <row r="396" ht="15.75" customHeight="1">
      <c r="F396" s="64"/>
      <c r="I396" s="65"/>
      <c r="J396" s="66"/>
      <c r="K396" s="67"/>
      <c r="L396" s="68"/>
      <c r="M396" s="69"/>
      <c r="N396" s="70"/>
      <c r="O396" s="71"/>
      <c r="P396" s="72"/>
      <c r="Q396" s="73"/>
      <c r="S396" s="64"/>
    </row>
    <row r="397" ht="15.75" customHeight="1">
      <c r="F397" s="64"/>
      <c r="I397" s="65"/>
      <c r="J397" s="66"/>
      <c r="K397" s="67"/>
      <c r="L397" s="68"/>
      <c r="M397" s="69"/>
      <c r="N397" s="70"/>
      <c r="O397" s="71"/>
      <c r="P397" s="72"/>
      <c r="Q397" s="73"/>
      <c r="S397" s="64"/>
    </row>
    <row r="398" ht="15.75" customHeight="1">
      <c r="F398" s="64"/>
      <c r="I398" s="65"/>
      <c r="J398" s="66"/>
      <c r="K398" s="67"/>
      <c r="L398" s="68"/>
      <c r="M398" s="69"/>
      <c r="N398" s="70"/>
      <c r="O398" s="71"/>
      <c r="P398" s="72"/>
      <c r="Q398" s="73"/>
      <c r="S398" s="64"/>
    </row>
    <row r="399" ht="15.75" customHeight="1">
      <c r="F399" s="64"/>
      <c r="I399" s="65"/>
      <c r="J399" s="66"/>
      <c r="K399" s="67"/>
      <c r="L399" s="68"/>
      <c r="M399" s="69"/>
      <c r="N399" s="70"/>
      <c r="O399" s="71"/>
      <c r="P399" s="72"/>
      <c r="Q399" s="73"/>
      <c r="S399" s="64"/>
    </row>
    <row r="400" ht="15.75" customHeight="1">
      <c r="F400" s="64"/>
      <c r="I400" s="65"/>
      <c r="J400" s="66"/>
      <c r="K400" s="67"/>
      <c r="L400" s="68"/>
      <c r="M400" s="69"/>
      <c r="N400" s="70"/>
      <c r="O400" s="71"/>
      <c r="P400" s="72"/>
      <c r="Q400" s="73"/>
      <c r="S400" s="64"/>
    </row>
    <row r="401" ht="15.75" customHeight="1">
      <c r="F401" s="64"/>
      <c r="I401" s="65"/>
      <c r="J401" s="66"/>
      <c r="K401" s="67"/>
      <c r="L401" s="68"/>
      <c r="M401" s="69"/>
      <c r="N401" s="70"/>
      <c r="O401" s="71"/>
      <c r="P401" s="72"/>
      <c r="Q401" s="73"/>
      <c r="S401" s="64"/>
    </row>
    <row r="402" ht="15.75" customHeight="1">
      <c r="F402" s="64"/>
      <c r="I402" s="65"/>
      <c r="J402" s="66"/>
      <c r="K402" s="67"/>
      <c r="L402" s="68"/>
      <c r="M402" s="69"/>
      <c r="N402" s="70"/>
      <c r="O402" s="71"/>
      <c r="P402" s="72"/>
      <c r="Q402" s="73"/>
      <c r="S402" s="64"/>
    </row>
    <row r="403" ht="15.75" customHeight="1">
      <c r="F403" s="64"/>
      <c r="I403" s="65"/>
      <c r="J403" s="66"/>
      <c r="K403" s="67"/>
      <c r="L403" s="68"/>
      <c r="M403" s="69"/>
      <c r="N403" s="70"/>
      <c r="O403" s="71"/>
      <c r="P403" s="72"/>
      <c r="Q403" s="73"/>
      <c r="S403" s="64"/>
    </row>
    <row r="404" ht="15.75" customHeight="1">
      <c r="F404" s="64"/>
      <c r="I404" s="65"/>
      <c r="J404" s="66"/>
      <c r="K404" s="67"/>
      <c r="L404" s="68"/>
      <c r="M404" s="69"/>
      <c r="N404" s="70"/>
      <c r="O404" s="71"/>
      <c r="P404" s="72"/>
      <c r="Q404" s="73"/>
      <c r="S404" s="64"/>
    </row>
    <row r="405" ht="15.75" customHeight="1">
      <c r="F405" s="64"/>
      <c r="I405" s="65"/>
      <c r="J405" s="66"/>
      <c r="K405" s="67"/>
      <c r="L405" s="68"/>
      <c r="M405" s="69"/>
      <c r="N405" s="70"/>
      <c r="O405" s="71"/>
      <c r="P405" s="72"/>
      <c r="Q405" s="73"/>
      <c r="S405" s="64"/>
    </row>
    <row r="406" ht="15.75" customHeight="1">
      <c r="F406" s="64"/>
      <c r="I406" s="65"/>
      <c r="J406" s="66"/>
      <c r="K406" s="67"/>
      <c r="L406" s="68"/>
      <c r="M406" s="69"/>
      <c r="N406" s="70"/>
      <c r="O406" s="71"/>
      <c r="P406" s="72"/>
      <c r="Q406" s="73"/>
      <c r="S406" s="64"/>
    </row>
    <row r="407" ht="15.75" customHeight="1">
      <c r="F407" s="64"/>
      <c r="I407" s="65"/>
      <c r="J407" s="66"/>
      <c r="K407" s="67"/>
      <c r="L407" s="68"/>
      <c r="M407" s="69"/>
      <c r="N407" s="70"/>
      <c r="O407" s="71"/>
      <c r="P407" s="72"/>
      <c r="Q407" s="73"/>
      <c r="S407" s="64"/>
    </row>
    <row r="408" ht="15.75" customHeight="1">
      <c r="F408" s="64"/>
      <c r="I408" s="65"/>
      <c r="J408" s="66"/>
      <c r="K408" s="67"/>
      <c r="L408" s="68"/>
      <c r="M408" s="69"/>
      <c r="N408" s="70"/>
      <c r="O408" s="71"/>
      <c r="P408" s="72"/>
      <c r="Q408" s="73"/>
      <c r="S408" s="64"/>
    </row>
    <row r="409" ht="15.75" customHeight="1">
      <c r="F409" s="64"/>
      <c r="I409" s="65"/>
      <c r="J409" s="66"/>
      <c r="K409" s="67"/>
      <c r="L409" s="68"/>
      <c r="M409" s="69"/>
      <c r="N409" s="70"/>
      <c r="O409" s="71"/>
      <c r="P409" s="72"/>
      <c r="Q409" s="73"/>
      <c r="S409" s="64"/>
    </row>
    <row r="410" ht="15.75" customHeight="1">
      <c r="F410" s="64"/>
      <c r="I410" s="65"/>
      <c r="J410" s="66"/>
      <c r="K410" s="67"/>
      <c r="L410" s="68"/>
      <c r="M410" s="69"/>
      <c r="N410" s="70"/>
      <c r="O410" s="71"/>
      <c r="P410" s="72"/>
      <c r="Q410" s="73"/>
      <c r="S410" s="64"/>
    </row>
    <row r="411" ht="15.75" customHeight="1">
      <c r="F411" s="64"/>
      <c r="I411" s="65"/>
      <c r="J411" s="66"/>
      <c r="K411" s="67"/>
      <c r="L411" s="68"/>
      <c r="M411" s="69"/>
      <c r="N411" s="70"/>
      <c r="O411" s="71"/>
      <c r="P411" s="72"/>
      <c r="Q411" s="73"/>
      <c r="S411" s="64"/>
    </row>
    <row r="412" ht="15.75" customHeight="1">
      <c r="F412" s="64"/>
      <c r="I412" s="65"/>
      <c r="J412" s="66"/>
      <c r="K412" s="67"/>
      <c r="L412" s="68"/>
      <c r="M412" s="69"/>
      <c r="N412" s="70"/>
      <c r="O412" s="71"/>
      <c r="P412" s="72"/>
      <c r="Q412" s="73"/>
      <c r="S412" s="64"/>
    </row>
    <row r="413" ht="15.75" customHeight="1">
      <c r="F413" s="64"/>
      <c r="I413" s="65"/>
      <c r="J413" s="66"/>
      <c r="K413" s="67"/>
      <c r="L413" s="68"/>
      <c r="M413" s="69"/>
      <c r="N413" s="70"/>
      <c r="O413" s="71"/>
      <c r="P413" s="72"/>
      <c r="Q413" s="73"/>
      <c r="S413" s="64"/>
    </row>
    <row r="414" ht="15.75" customHeight="1">
      <c r="F414" s="64"/>
      <c r="I414" s="65"/>
      <c r="J414" s="66"/>
      <c r="K414" s="67"/>
      <c r="L414" s="68"/>
      <c r="M414" s="69"/>
      <c r="N414" s="70"/>
      <c r="O414" s="71"/>
      <c r="P414" s="72"/>
      <c r="Q414" s="73"/>
      <c r="S414" s="64"/>
    </row>
    <row r="415" ht="15.75" customHeight="1">
      <c r="F415" s="64"/>
      <c r="I415" s="65"/>
      <c r="J415" s="66"/>
      <c r="K415" s="67"/>
      <c r="L415" s="68"/>
      <c r="M415" s="69"/>
      <c r="N415" s="70"/>
      <c r="O415" s="71"/>
      <c r="P415" s="72"/>
      <c r="Q415" s="73"/>
      <c r="S415" s="64"/>
    </row>
    <row r="416" ht="15.75" customHeight="1">
      <c r="F416" s="64"/>
      <c r="I416" s="65"/>
      <c r="J416" s="66"/>
      <c r="K416" s="67"/>
      <c r="L416" s="68"/>
      <c r="M416" s="69"/>
      <c r="N416" s="70"/>
      <c r="O416" s="71"/>
      <c r="P416" s="72"/>
      <c r="Q416" s="73"/>
      <c r="S416" s="64"/>
    </row>
    <row r="417" ht="15.75" customHeight="1">
      <c r="F417" s="64"/>
      <c r="I417" s="65"/>
      <c r="J417" s="66"/>
      <c r="K417" s="67"/>
      <c r="L417" s="68"/>
      <c r="M417" s="69"/>
      <c r="N417" s="70"/>
      <c r="O417" s="71"/>
      <c r="P417" s="72"/>
      <c r="Q417" s="73"/>
      <c r="S417" s="64"/>
    </row>
    <row r="418" ht="15.75" customHeight="1">
      <c r="F418" s="64"/>
      <c r="I418" s="65"/>
      <c r="J418" s="66"/>
      <c r="K418" s="67"/>
      <c r="L418" s="68"/>
      <c r="M418" s="69"/>
      <c r="N418" s="70"/>
      <c r="O418" s="71"/>
      <c r="P418" s="72"/>
      <c r="Q418" s="73"/>
      <c r="S418" s="64"/>
    </row>
    <row r="419" ht="15.75" customHeight="1">
      <c r="F419" s="64"/>
      <c r="I419" s="65"/>
      <c r="J419" s="66"/>
      <c r="K419" s="67"/>
      <c r="L419" s="68"/>
      <c r="M419" s="69"/>
      <c r="N419" s="70"/>
      <c r="O419" s="71"/>
      <c r="P419" s="72"/>
      <c r="Q419" s="73"/>
      <c r="S419" s="64"/>
    </row>
    <row r="420" ht="15.75" customHeight="1">
      <c r="F420" s="64"/>
      <c r="I420" s="65"/>
      <c r="J420" s="66"/>
      <c r="K420" s="67"/>
      <c r="L420" s="68"/>
      <c r="M420" s="69"/>
      <c r="N420" s="70"/>
      <c r="O420" s="71"/>
      <c r="P420" s="72"/>
      <c r="Q420" s="73"/>
      <c r="S420" s="64"/>
    </row>
    <row r="421" ht="15.75" customHeight="1">
      <c r="F421" s="64"/>
      <c r="I421" s="65"/>
      <c r="J421" s="66"/>
      <c r="K421" s="67"/>
      <c r="L421" s="68"/>
      <c r="M421" s="69"/>
      <c r="N421" s="70"/>
      <c r="O421" s="71"/>
      <c r="P421" s="72"/>
      <c r="Q421" s="73"/>
      <c r="S421" s="64"/>
    </row>
    <row r="422" ht="15.75" customHeight="1">
      <c r="F422" s="64"/>
      <c r="I422" s="65"/>
      <c r="J422" s="66"/>
      <c r="K422" s="67"/>
      <c r="L422" s="68"/>
      <c r="M422" s="69"/>
      <c r="N422" s="70"/>
      <c r="O422" s="71"/>
      <c r="P422" s="72"/>
      <c r="Q422" s="73"/>
      <c r="S422" s="64"/>
    </row>
    <row r="423" ht="15.75" customHeight="1">
      <c r="F423" s="64"/>
      <c r="I423" s="65"/>
      <c r="J423" s="66"/>
      <c r="K423" s="67"/>
      <c r="L423" s="68"/>
      <c r="M423" s="69"/>
      <c r="N423" s="70"/>
      <c r="O423" s="71"/>
      <c r="P423" s="72"/>
      <c r="Q423" s="73"/>
      <c r="S423" s="64"/>
    </row>
    <row r="424" ht="15.75" customHeight="1">
      <c r="F424" s="64"/>
      <c r="I424" s="65"/>
      <c r="J424" s="66"/>
      <c r="K424" s="67"/>
      <c r="L424" s="68"/>
      <c r="M424" s="69"/>
      <c r="N424" s="70"/>
      <c r="O424" s="71"/>
      <c r="P424" s="72"/>
      <c r="Q424" s="73"/>
      <c r="S424" s="64"/>
    </row>
    <row r="425" ht="15.75" customHeight="1">
      <c r="F425" s="64"/>
      <c r="I425" s="65"/>
      <c r="J425" s="66"/>
      <c r="K425" s="67"/>
      <c r="L425" s="68"/>
      <c r="M425" s="69"/>
      <c r="N425" s="70"/>
      <c r="O425" s="71"/>
      <c r="P425" s="72"/>
      <c r="Q425" s="73"/>
      <c r="S425" s="64"/>
    </row>
    <row r="426" ht="15.75" customHeight="1">
      <c r="F426" s="64"/>
      <c r="I426" s="65"/>
      <c r="J426" s="66"/>
      <c r="K426" s="67"/>
      <c r="L426" s="68"/>
      <c r="M426" s="69"/>
      <c r="N426" s="70"/>
      <c r="O426" s="71"/>
      <c r="P426" s="72"/>
      <c r="Q426" s="73"/>
      <c r="S426" s="64"/>
    </row>
    <row r="427" ht="15.75" customHeight="1">
      <c r="F427" s="64"/>
      <c r="I427" s="65"/>
      <c r="J427" s="66"/>
      <c r="K427" s="67"/>
      <c r="L427" s="68"/>
      <c r="M427" s="69"/>
      <c r="N427" s="70"/>
      <c r="O427" s="71"/>
      <c r="P427" s="72"/>
      <c r="Q427" s="73"/>
      <c r="S427" s="64"/>
    </row>
    <row r="428" ht="15.75" customHeight="1">
      <c r="F428" s="64"/>
      <c r="I428" s="65"/>
      <c r="J428" s="66"/>
      <c r="K428" s="67"/>
      <c r="L428" s="68"/>
      <c r="M428" s="69"/>
      <c r="N428" s="70"/>
      <c r="O428" s="71"/>
      <c r="P428" s="72"/>
      <c r="Q428" s="73"/>
      <c r="S428" s="64"/>
    </row>
    <row r="429" ht="15.75" customHeight="1">
      <c r="F429" s="64"/>
      <c r="I429" s="65"/>
      <c r="J429" s="66"/>
      <c r="K429" s="67"/>
      <c r="L429" s="68"/>
      <c r="M429" s="69"/>
      <c r="N429" s="70"/>
      <c r="O429" s="71"/>
      <c r="P429" s="72"/>
      <c r="Q429" s="73"/>
      <c r="S429" s="64"/>
    </row>
    <row r="430" ht="15.75" customHeight="1">
      <c r="F430" s="64"/>
      <c r="I430" s="65"/>
      <c r="J430" s="66"/>
      <c r="K430" s="67"/>
      <c r="L430" s="68"/>
      <c r="M430" s="69"/>
      <c r="N430" s="70"/>
      <c r="O430" s="71"/>
      <c r="P430" s="72"/>
      <c r="Q430" s="73"/>
      <c r="S430" s="64"/>
    </row>
    <row r="431" ht="15.75" customHeight="1">
      <c r="F431" s="64"/>
      <c r="I431" s="65"/>
      <c r="J431" s="66"/>
      <c r="K431" s="67"/>
      <c r="L431" s="68"/>
      <c r="M431" s="69"/>
      <c r="N431" s="70"/>
      <c r="O431" s="71"/>
      <c r="P431" s="72"/>
      <c r="Q431" s="73"/>
      <c r="S431" s="64"/>
    </row>
    <row r="432" ht="15.75" customHeight="1">
      <c r="F432" s="64"/>
      <c r="I432" s="65"/>
      <c r="J432" s="66"/>
      <c r="K432" s="67"/>
      <c r="L432" s="68"/>
      <c r="M432" s="69"/>
      <c r="N432" s="70"/>
      <c r="O432" s="71"/>
      <c r="P432" s="72"/>
      <c r="Q432" s="73"/>
      <c r="S432" s="64"/>
    </row>
    <row r="433" ht="15.75" customHeight="1">
      <c r="F433" s="64"/>
      <c r="I433" s="65"/>
      <c r="J433" s="66"/>
      <c r="K433" s="67"/>
      <c r="L433" s="68"/>
      <c r="M433" s="69"/>
      <c r="N433" s="70"/>
      <c r="O433" s="71"/>
      <c r="P433" s="72"/>
      <c r="Q433" s="73"/>
      <c r="S433" s="64"/>
    </row>
    <row r="434" ht="15.75" customHeight="1">
      <c r="F434" s="64"/>
      <c r="I434" s="65"/>
      <c r="J434" s="66"/>
      <c r="K434" s="67"/>
      <c r="L434" s="68"/>
      <c r="M434" s="69"/>
      <c r="N434" s="70"/>
      <c r="O434" s="71"/>
      <c r="P434" s="72"/>
      <c r="Q434" s="73"/>
      <c r="S434" s="64"/>
    </row>
    <row r="435" ht="15.75" customHeight="1">
      <c r="F435" s="64"/>
      <c r="I435" s="65"/>
      <c r="J435" s="66"/>
      <c r="K435" s="67"/>
      <c r="L435" s="68"/>
      <c r="M435" s="69"/>
      <c r="N435" s="70"/>
      <c r="O435" s="71"/>
      <c r="P435" s="72"/>
      <c r="Q435" s="73"/>
      <c r="S435" s="64"/>
    </row>
    <row r="436" ht="15.75" customHeight="1">
      <c r="F436" s="64"/>
      <c r="I436" s="65"/>
      <c r="J436" s="66"/>
      <c r="K436" s="67"/>
      <c r="L436" s="68"/>
      <c r="M436" s="69"/>
      <c r="N436" s="70"/>
      <c r="O436" s="71"/>
      <c r="P436" s="72"/>
      <c r="Q436" s="73"/>
      <c r="S436" s="64"/>
    </row>
    <row r="437" ht="15.75" customHeight="1">
      <c r="F437" s="64"/>
      <c r="I437" s="65"/>
      <c r="J437" s="66"/>
      <c r="K437" s="67"/>
      <c r="L437" s="68"/>
      <c r="M437" s="69"/>
      <c r="N437" s="70"/>
      <c r="O437" s="71"/>
      <c r="P437" s="72"/>
      <c r="Q437" s="73"/>
      <c r="S437" s="64"/>
    </row>
    <row r="438" ht="15.75" customHeight="1">
      <c r="F438" s="64"/>
      <c r="I438" s="65"/>
      <c r="J438" s="66"/>
      <c r="K438" s="67"/>
      <c r="L438" s="68"/>
      <c r="M438" s="69"/>
      <c r="N438" s="70"/>
      <c r="O438" s="71"/>
      <c r="P438" s="72"/>
      <c r="Q438" s="73"/>
      <c r="S438" s="64"/>
    </row>
    <row r="439" ht="15.75" customHeight="1">
      <c r="F439" s="64"/>
      <c r="I439" s="65"/>
      <c r="J439" s="66"/>
      <c r="K439" s="67"/>
      <c r="L439" s="68"/>
      <c r="M439" s="69"/>
      <c r="N439" s="70"/>
      <c r="O439" s="71"/>
      <c r="P439" s="72"/>
      <c r="Q439" s="73"/>
      <c r="S439" s="64"/>
    </row>
    <row r="440" ht="15.75" customHeight="1">
      <c r="F440" s="64"/>
      <c r="I440" s="65"/>
      <c r="J440" s="66"/>
      <c r="K440" s="67"/>
      <c r="L440" s="68"/>
      <c r="M440" s="69"/>
      <c r="N440" s="70"/>
      <c r="O440" s="71"/>
      <c r="P440" s="72"/>
      <c r="Q440" s="73"/>
      <c r="S440" s="64"/>
    </row>
    <row r="441" ht="15.75" customHeight="1">
      <c r="F441" s="64"/>
      <c r="I441" s="65"/>
      <c r="J441" s="66"/>
      <c r="K441" s="67"/>
      <c r="L441" s="68"/>
      <c r="M441" s="69"/>
      <c r="N441" s="70"/>
      <c r="O441" s="71"/>
      <c r="P441" s="72"/>
      <c r="Q441" s="73"/>
      <c r="S441" s="64"/>
    </row>
    <row r="442" ht="15.75" customHeight="1">
      <c r="F442" s="64"/>
      <c r="I442" s="65"/>
      <c r="J442" s="66"/>
      <c r="K442" s="67"/>
      <c r="L442" s="68"/>
      <c r="M442" s="69"/>
      <c r="N442" s="70"/>
      <c r="O442" s="71"/>
      <c r="P442" s="72"/>
      <c r="Q442" s="73"/>
      <c r="S442" s="64"/>
    </row>
    <row r="443" ht="15.75" customHeight="1">
      <c r="F443" s="64"/>
      <c r="I443" s="65"/>
      <c r="J443" s="66"/>
      <c r="K443" s="67"/>
      <c r="L443" s="68"/>
      <c r="M443" s="69"/>
      <c r="N443" s="70"/>
      <c r="O443" s="71"/>
      <c r="P443" s="72"/>
      <c r="Q443" s="73"/>
      <c r="S443" s="64"/>
    </row>
    <row r="444" ht="15.75" customHeight="1">
      <c r="F444" s="64"/>
      <c r="I444" s="65"/>
      <c r="J444" s="66"/>
      <c r="K444" s="67"/>
      <c r="L444" s="68"/>
      <c r="M444" s="69"/>
      <c r="N444" s="70"/>
      <c r="O444" s="71"/>
      <c r="P444" s="72"/>
      <c r="Q444" s="73"/>
      <c r="S444" s="64"/>
    </row>
    <row r="445" ht="15.75" customHeight="1">
      <c r="F445" s="64"/>
      <c r="I445" s="65"/>
      <c r="J445" s="66"/>
      <c r="K445" s="67"/>
      <c r="L445" s="68"/>
      <c r="M445" s="69"/>
      <c r="N445" s="70"/>
      <c r="O445" s="71"/>
      <c r="P445" s="72"/>
      <c r="Q445" s="73"/>
      <c r="S445" s="64"/>
    </row>
    <row r="446" ht="15.75" customHeight="1">
      <c r="F446" s="64"/>
      <c r="I446" s="65"/>
      <c r="J446" s="66"/>
      <c r="K446" s="67"/>
      <c r="L446" s="68"/>
      <c r="M446" s="69"/>
      <c r="N446" s="70"/>
      <c r="O446" s="71"/>
      <c r="P446" s="72"/>
      <c r="Q446" s="73"/>
      <c r="S446" s="64"/>
    </row>
    <row r="447" ht="15.75" customHeight="1">
      <c r="F447" s="64"/>
      <c r="I447" s="65"/>
      <c r="J447" s="66"/>
      <c r="K447" s="67"/>
      <c r="L447" s="68"/>
      <c r="M447" s="69"/>
      <c r="N447" s="70"/>
      <c r="O447" s="71"/>
      <c r="P447" s="72"/>
      <c r="Q447" s="73"/>
      <c r="S447" s="64"/>
    </row>
    <row r="448" ht="15.75" customHeight="1">
      <c r="F448" s="64"/>
      <c r="I448" s="65"/>
      <c r="J448" s="66"/>
      <c r="K448" s="67"/>
      <c r="L448" s="68"/>
      <c r="M448" s="69"/>
      <c r="N448" s="70"/>
      <c r="O448" s="71"/>
      <c r="P448" s="72"/>
      <c r="Q448" s="73"/>
      <c r="S448" s="64"/>
    </row>
    <row r="449" ht="15.75" customHeight="1">
      <c r="F449" s="64"/>
      <c r="I449" s="65"/>
      <c r="J449" s="66"/>
      <c r="K449" s="67"/>
      <c r="L449" s="68"/>
      <c r="M449" s="69"/>
      <c r="N449" s="70"/>
      <c r="O449" s="71"/>
      <c r="P449" s="72"/>
      <c r="Q449" s="73"/>
      <c r="S449" s="64"/>
    </row>
    <row r="450" ht="15.75" customHeight="1">
      <c r="F450" s="64"/>
      <c r="I450" s="65"/>
      <c r="J450" s="66"/>
      <c r="K450" s="67"/>
      <c r="L450" s="68"/>
      <c r="M450" s="69"/>
      <c r="N450" s="70"/>
      <c r="O450" s="71"/>
      <c r="P450" s="72"/>
      <c r="Q450" s="73"/>
      <c r="S450" s="64"/>
    </row>
    <row r="451" ht="15.75" customHeight="1">
      <c r="F451" s="64"/>
      <c r="I451" s="65"/>
      <c r="J451" s="66"/>
      <c r="K451" s="67"/>
      <c r="L451" s="68"/>
      <c r="M451" s="69"/>
      <c r="N451" s="70"/>
      <c r="O451" s="71"/>
      <c r="P451" s="72"/>
      <c r="Q451" s="73"/>
      <c r="S451" s="64"/>
    </row>
    <row r="452" ht="15.75" customHeight="1">
      <c r="F452" s="64"/>
      <c r="I452" s="65"/>
      <c r="J452" s="66"/>
      <c r="K452" s="67"/>
      <c r="L452" s="68"/>
      <c r="M452" s="69"/>
      <c r="N452" s="70"/>
      <c r="O452" s="71"/>
      <c r="P452" s="72"/>
      <c r="Q452" s="73"/>
      <c r="S452" s="64"/>
    </row>
    <row r="453" ht="15.75" customHeight="1">
      <c r="F453" s="64"/>
      <c r="I453" s="65"/>
      <c r="J453" s="66"/>
      <c r="K453" s="67"/>
      <c r="L453" s="68"/>
      <c r="M453" s="69"/>
      <c r="N453" s="70"/>
      <c r="O453" s="71"/>
      <c r="P453" s="72"/>
      <c r="Q453" s="73"/>
      <c r="S453" s="64"/>
    </row>
    <row r="454" ht="15.75" customHeight="1">
      <c r="F454" s="64"/>
      <c r="I454" s="65"/>
      <c r="J454" s="66"/>
      <c r="K454" s="67"/>
      <c r="L454" s="68"/>
      <c r="M454" s="69"/>
      <c r="N454" s="70"/>
      <c r="O454" s="71"/>
      <c r="P454" s="72"/>
      <c r="Q454" s="73"/>
      <c r="S454" s="64"/>
    </row>
    <row r="455" ht="15.75" customHeight="1">
      <c r="F455" s="64"/>
      <c r="I455" s="65"/>
      <c r="J455" s="66"/>
      <c r="K455" s="67"/>
      <c r="L455" s="68"/>
      <c r="M455" s="69"/>
      <c r="N455" s="70"/>
      <c r="O455" s="71"/>
      <c r="P455" s="72"/>
      <c r="Q455" s="73"/>
      <c r="S455" s="64"/>
    </row>
    <row r="456" ht="15.75" customHeight="1">
      <c r="F456" s="64"/>
      <c r="I456" s="65"/>
      <c r="J456" s="66"/>
      <c r="K456" s="67"/>
      <c r="L456" s="68"/>
      <c r="M456" s="69"/>
      <c r="N456" s="70"/>
      <c r="O456" s="71"/>
      <c r="P456" s="72"/>
      <c r="Q456" s="73"/>
      <c r="S456" s="64"/>
    </row>
    <row r="457" ht="15.75" customHeight="1">
      <c r="F457" s="64"/>
      <c r="I457" s="65"/>
      <c r="J457" s="66"/>
      <c r="K457" s="67"/>
      <c r="L457" s="68"/>
      <c r="M457" s="69"/>
      <c r="N457" s="70"/>
      <c r="O457" s="71"/>
      <c r="P457" s="72"/>
      <c r="Q457" s="73"/>
      <c r="S457" s="64"/>
    </row>
    <row r="458" ht="15.75" customHeight="1">
      <c r="F458" s="64"/>
      <c r="I458" s="65"/>
      <c r="J458" s="66"/>
      <c r="K458" s="67"/>
      <c r="L458" s="68"/>
      <c r="M458" s="69"/>
      <c r="N458" s="70"/>
      <c r="O458" s="71"/>
      <c r="P458" s="72"/>
      <c r="Q458" s="73"/>
      <c r="S458" s="64"/>
    </row>
    <row r="459" ht="15.75" customHeight="1">
      <c r="F459" s="64"/>
      <c r="I459" s="65"/>
      <c r="J459" s="66"/>
      <c r="K459" s="67"/>
      <c r="L459" s="68"/>
      <c r="M459" s="69"/>
      <c r="N459" s="70"/>
      <c r="O459" s="71"/>
      <c r="P459" s="72"/>
      <c r="Q459" s="73"/>
      <c r="S459" s="64"/>
    </row>
    <row r="460" ht="15.75" customHeight="1">
      <c r="F460" s="64"/>
      <c r="I460" s="65"/>
      <c r="J460" s="66"/>
      <c r="K460" s="67"/>
      <c r="L460" s="68"/>
      <c r="M460" s="69"/>
      <c r="N460" s="70"/>
      <c r="O460" s="71"/>
      <c r="P460" s="72"/>
      <c r="Q460" s="73"/>
      <c r="S460" s="64"/>
    </row>
    <row r="461" ht="15.75" customHeight="1">
      <c r="F461" s="64"/>
      <c r="I461" s="65"/>
      <c r="J461" s="66"/>
      <c r="K461" s="67"/>
      <c r="L461" s="68"/>
      <c r="M461" s="69"/>
      <c r="N461" s="70"/>
      <c r="O461" s="71"/>
      <c r="P461" s="72"/>
      <c r="Q461" s="73"/>
      <c r="S461" s="64"/>
    </row>
    <row r="462" ht="15.75" customHeight="1">
      <c r="F462" s="64"/>
      <c r="I462" s="65"/>
      <c r="J462" s="66"/>
      <c r="K462" s="67"/>
      <c r="L462" s="68"/>
      <c r="M462" s="69"/>
      <c r="N462" s="70"/>
      <c r="O462" s="71"/>
      <c r="P462" s="72"/>
      <c r="Q462" s="73"/>
      <c r="S462" s="64"/>
    </row>
    <row r="463" ht="15.75" customHeight="1">
      <c r="F463" s="64"/>
      <c r="I463" s="65"/>
      <c r="J463" s="66"/>
      <c r="K463" s="67"/>
      <c r="L463" s="68"/>
      <c r="M463" s="69"/>
      <c r="N463" s="70"/>
      <c r="O463" s="71"/>
      <c r="P463" s="72"/>
      <c r="Q463" s="73"/>
      <c r="S463" s="64"/>
    </row>
    <row r="464" ht="15.75" customHeight="1">
      <c r="F464" s="64"/>
      <c r="I464" s="65"/>
      <c r="J464" s="66"/>
      <c r="K464" s="67"/>
      <c r="L464" s="68"/>
      <c r="M464" s="69"/>
      <c r="N464" s="70"/>
      <c r="O464" s="71"/>
      <c r="P464" s="72"/>
      <c r="Q464" s="73"/>
      <c r="S464" s="64"/>
    </row>
    <row r="465" ht="15.75" customHeight="1">
      <c r="F465" s="64"/>
      <c r="I465" s="65"/>
      <c r="J465" s="66"/>
      <c r="K465" s="67"/>
      <c r="L465" s="68"/>
      <c r="M465" s="69"/>
      <c r="N465" s="70"/>
      <c r="O465" s="71"/>
      <c r="P465" s="72"/>
      <c r="Q465" s="73"/>
      <c r="S465" s="64"/>
    </row>
    <row r="466" ht="15.75" customHeight="1">
      <c r="F466" s="64"/>
      <c r="I466" s="65"/>
      <c r="J466" s="66"/>
      <c r="K466" s="67"/>
      <c r="L466" s="68"/>
      <c r="M466" s="69"/>
      <c r="N466" s="70"/>
      <c r="O466" s="71"/>
      <c r="P466" s="72"/>
      <c r="Q466" s="73"/>
      <c r="S466" s="64"/>
    </row>
    <row r="467" ht="15.75" customHeight="1">
      <c r="F467" s="64"/>
      <c r="I467" s="65"/>
      <c r="J467" s="66"/>
      <c r="K467" s="67"/>
      <c r="L467" s="68"/>
      <c r="M467" s="69"/>
      <c r="N467" s="70"/>
      <c r="O467" s="71"/>
      <c r="P467" s="72"/>
      <c r="Q467" s="73"/>
      <c r="S467" s="64"/>
    </row>
    <row r="468" ht="15.75" customHeight="1">
      <c r="F468" s="64"/>
      <c r="I468" s="65"/>
      <c r="J468" s="66"/>
      <c r="K468" s="67"/>
      <c r="L468" s="68"/>
      <c r="M468" s="69"/>
      <c r="N468" s="70"/>
      <c r="O468" s="71"/>
      <c r="P468" s="72"/>
      <c r="Q468" s="73"/>
      <c r="S468" s="64"/>
    </row>
    <row r="469" ht="15.75" customHeight="1">
      <c r="F469" s="64"/>
      <c r="I469" s="65"/>
      <c r="J469" s="66"/>
      <c r="K469" s="67"/>
      <c r="L469" s="68"/>
      <c r="M469" s="69"/>
      <c r="N469" s="70"/>
      <c r="O469" s="71"/>
      <c r="P469" s="72"/>
      <c r="Q469" s="73"/>
      <c r="S469" s="64"/>
    </row>
    <row r="470" ht="15.75" customHeight="1">
      <c r="F470" s="64"/>
      <c r="I470" s="65"/>
      <c r="J470" s="66"/>
      <c r="K470" s="67"/>
      <c r="L470" s="68"/>
      <c r="M470" s="69"/>
      <c r="N470" s="70"/>
      <c r="O470" s="71"/>
      <c r="P470" s="72"/>
      <c r="Q470" s="73"/>
      <c r="S470" s="64"/>
    </row>
    <row r="471" ht="15.75" customHeight="1">
      <c r="F471" s="64"/>
      <c r="I471" s="65"/>
      <c r="J471" s="66"/>
      <c r="K471" s="67"/>
      <c r="L471" s="68"/>
      <c r="M471" s="69"/>
      <c r="N471" s="70"/>
      <c r="O471" s="71"/>
      <c r="P471" s="72"/>
      <c r="Q471" s="73"/>
      <c r="S471" s="64"/>
    </row>
    <row r="472" ht="15.75" customHeight="1">
      <c r="F472" s="64"/>
      <c r="I472" s="65"/>
      <c r="J472" s="66"/>
      <c r="K472" s="67"/>
      <c r="L472" s="68"/>
      <c r="M472" s="69"/>
      <c r="N472" s="70"/>
      <c r="O472" s="71"/>
      <c r="P472" s="72"/>
      <c r="Q472" s="73"/>
      <c r="S472" s="64"/>
    </row>
    <row r="473" ht="15.75" customHeight="1">
      <c r="F473" s="64"/>
      <c r="I473" s="65"/>
      <c r="J473" s="66"/>
      <c r="K473" s="67"/>
      <c r="L473" s="68"/>
      <c r="M473" s="69"/>
      <c r="N473" s="70"/>
      <c r="O473" s="71"/>
      <c r="P473" s="72"/>
      <c r="Q473" s="73"/>
      <c r="S473" s="64"/>
    </row>
    <row r="474" ht="15.75" customHeight="1">
      <c r="F474" s="64"/>
      <c r="I474" s="65"/>
      <c r="J474" s="66"/>
      <c r="K474" s="67"/>
      <c r="L474" s="68"/>
      <c r="M474" s="69"/>
      <c r="N474" s="70"/>
      <c r="O474" s="71"/>
      <c r="P474" s="72"/>
      <c r="Q474" s="73"/>
      <c r="S474" s="64"/>
    </row>
    <row r="475" ht="15.75" customHeight="1">
      <c r="F475" s="64"/>
      <c r="I475" s="65"/>
      <c r="J475" s="66"/>
      <c r="K475" s="67"/>
      <c r="L475" s="68"/>
      <c r="M475" s="69"/>
      <c r="N475" s="70"/>
      <c r="O475" s="71"/>
      <c r="P475" s="72"/>
      <c r="Q475" s="73"/>
      <c r="S475" s="64"/>
    </row>
    <row r="476" ht="15.75" customHeight="1">
      <c r="F476" s="64"/>
      <c r="I476" s="65"/>
      <c r="J476" s="66"/>
      <c r="K476" s="67"/>
      <c r="L476" s="68"/>
      <c r="M476" s="69"/>
      <c r="N476" s="70"/>
      <c r="O476" s="71"/>
      <c r="P476" s="72"/>
      <c r="Q476" s="73"/>
      <c r="S476" s="64"/>
    </row>
    <row r="477" ht="15.75" customHeight="1">
      <c r="F477" s="64"/>
      <c r="I477" s="65"/>
      <c r="J477" s="66"/>
      <c r="K477" s="67"/>
      <c r="L477" s="68"/>
      <c r="M477" s="69"/>
      <c r="N477" s="70"/>
      <c r="O477" s="71"/>
      <c r="P477" s="72"/>
      <c r="Q477" s="73"/>
      <c r="S477" s="64"/>
    </row>
    <row r="478" ht="15.75" customHeight="1">
      <c r="F478" s="64"/>
      <c r="I478" s="65"/>
      <c r="J478" s="66"/>
      <c r="K478" s="67"/>
      <c r="L478" s="68"/>
      <c r="M478" s="69"/>
      <c r="N478" s="70"/>
      <c r="O478" s="71"/>
      <c r="P478" s="72"/>
      <c r="Q478" s="73"/>
      <c r="S478" s="64"/>
    </row>
    <row r="479" ht="15.75" customHeight="1">
      <c r="F479" s="64"/>
      <c r="I479" s="65"/>
      <c r="J479" s="66"/>
      <c r="K479" s="67"/>
      <c r="L479" s="68"/>
      <c r="M479" s="69"/>
      <c r="N479" s="70"/>
      <c r="O479" s="71"/>
      <c r="P479" s="72"/>
      <c r="Q479" s="73"/>
      <c r="S479" s="64"/>
    </row>
    <row r="480" ht="15.75" customHeight="1">
      <c r="F480" s="64"/>
      <c r="I480" s="65"/>
      <c r="J480" s="66"/>
      <c r="K480" s="67"/>
      <c r="L480" s="68"/>
      <c r="M480" s="69"/>
      <c r="N480" s="70"/>
      <c r="O480" s="71"/>
      <c r="P480" s="72"/>
      <c r="Q480" s="73"/>
      <c r="S480" s="64"/>
    </row>
    <row r="481" ht="15.75" customHeight="1">
      <c r="F481" s="64"/>
      <c r="I481" s="65"/>
      <c r="J481" s="66"/>
      <c r="K481" s="67"/>
      <c r="L481" s="68"/>
      <c r="M481" s="69"/>
      <c r="N481" s="70"/>
      <c r="O481" s="71"/>
      <c r="P481" s="72"/>
      <c r="Q481" s="73"/>
      <c r="S481" s="64"/>
    </row>
    <row r="482" ht="15.75" customHeight="1">
      <c r="F482" s="64"/>
      <c r="I482" s="65"/>
      <c r="J482" s="66"/>
      <c r="K482" s="67"/>
      <c r="L482" s="68"/>
      <c r="M482" s="69"/>
      <c r="N482" s="70"/>
      <c r="O482" s="71"/>
      <c r="P482" s="72"/>
      <c r="Q482" s="73"/>
      <c r="S482" s="64"/>
    </row>
    <row r="483" ht="15.75" customHeight="1">
      <c r="F483" s="64"/>
      <c r="I483" s="65"/>
      <c r="J483" s="66"/>
      <c r="K483" s="67"/>
      <c r="L483" s="68"/>
      <c r="M483" s="69"/>
      <c r="N483" s="70"/>
      <c r="O483" s="71"/>
      <c r="P483" s="72"/>
      <c r="Q483" s="73"/>
      <c r="S483" s="64"/>
    </row>
    <row r="484" ht="15.75" customHeight="1">
      <c r="F484" s="64"/>
      <c r="I484" s="65"/>
      <c r="J484" s="66"/>
      <c r="K484" s="67"/>
      <c r="L484" s="68"/>
      <c r="M484" s="69"/>
      <c r="N484" s="70"/>
      <c r="O484" s="71"/>
      <c r="P484" s="72"/>
      <c r="Q484" s="73"/>
      <c r="S484" s="64"/>
    </row>
    <row r="485" ht="15.75" customHeight="1">
      <c r="F485" s="64"/>
      <c r="I485" s="65"/>
      <c r="J485" s="66"/>
      <c r="K485" s="67"/>
      <c r="L485" s="68"/>
      <c r="M485" s="69"/>
      <c r="N485" s="70"/>
      <c r="O485" s="71"/>
      <c r="P485" s="72"/>
      <c r="Q485" s="73"/>
      <c r="S485" s="64"/>
    </row>
    <row r="486" ht="15.75" customHeight="1">
      <c r="F486" s="64"/>
      <c r="I486" s="65"/>
      <c r="J486" s="66"/>
      <c r="K486" s="67"/>
      <c r="L486" s="68"/>
      <c r="M486" s="69"/>
      <c r="N486" s="70"/>
      <c r="O486" s="71"/>
      <c r="P486" s="72"/>
      <c r="Q486" s="73"/>
      <c r="S486" s="64"/>
    </row>
    <row r="487" ht="15.75" customHeight="1">
      <c r="F487" s="64"/>
      <c r="I487" s="65"/>
      <c r="J487" s="66"/>
      <c r="K487" s="67"/>
      <c r="L487" s="68"/>
      <c r="M487" s="69"/>
      <c r="N487" s="70"/>
      <c r="O487" s="71"/>
      <c r="P487" s="72"/>
      <c r="Q487" s="73"/>
      <c r="S487" s="64"/>
    </row>
    <row r="488" ht="15.75" customHeight="1">
      <c r="F488" s="64"/>
      <c r="I488" s="65"/>
      <c r="J488" s="66"/>
      <c r="K488" s="67"/>
      <c r="L488" s="68"/>
      <c r="M488" s="69"/>
      <c r="N488" s="70"/>
      <c r="O488" s="71"/>
      <c r="P488" s="72"/>
      <c r="Q488" s="73"/>
      <c r="S488" s="64"/>
    </row>
    <row r="489" ht="15.75" customHeight="1">
      <c r="F489" s="64"/>
      <c r="I489" s="65"/>
      <c r="J489" s="66"/>
      <c r="K489" s="67"/>
      <c r="L489" s="68"/>
      <c r="M489" s="69"/>
      <c r="N489" s="70"/>
      <c r="O489" s="71"/>
      <c r="P489" s="72"/>
      <c r="Q489" s="73"/>
      <c r="S489" s="64"/>
    </row>
    <row r="490" ht="15.75" customHeight="1">
      <c r="F490" s="64"/>
      <c r="I490" s="65"/>
      <c r="J490" s="66"/>
      <c r="K490" s="67"/>
      <c r="L490" s="68"/>
      <c r="M490" s="69"/>
      <c r="N490" s="70"/>
      <c r="O490" s="71"/>
      <c r="P490" s="72"/>
      <c r="Q490" s="73"/>
      <c r="S490" s="64"/>
    </row>
    <row r="491" ht="15.75" customHeight="1">
      <c r="F491" s="64"/>
      <c r="I491" s="65"/>
      <c r="J491" s="66"/>
      <c r="K491" s="67"/>
      <c r="L491" s="68"/>
      <c r="M491" s="69"/>
      <c r="N491" s="70"/>
      <c r="O491" s="71"/>
      <c r="P491" s="72"/>
      <c r="Q491" s="73"/>
      <c r="S491" s="64"/>
    </row>
    <row r="492" ht="15.75" customHeight="1">
      <c r="F492" s="64"/>
      <c r="I492" s="65"/>
      <c r="J492" s="66"/>
      <c r="K492" s="67"/>
      <c r="L492" s="68"/>
      <c r="M492" s="69"/>
      <c r="N492" s="70"/>
      <c r="O492" s="71"/>
      <c r="P492" s="72"/>
      <c r="Q492" s="73"/>
      <c r="S492" s="64"/>
    </row>
    <row r="493" ht="15.75" customHeight="1">
      <c r="F493" s="64"/>
      <c r="I493" s="65"/>
      <c r="J493" s="66"/>
      <c r="K493" s="67"/>
      <c r="L493" s="68"/>
      <c r="M493" s="69"/>
      <c r="N493" s="70"/>
      <c r="O493" s="71"/>
      <c r="P493" s="72"/>
      <c r="Q493" s="73"/>
      <c r="S493" s="64"/>
    </row>
    <row r="494" ht="15.75" customHeight="1">
      <c r="F494" s="64"/>
      <c r="I494" s="65"/>
      <c r="J494" s="66"/>
      <c r="K494" s="67"/>
      <c r="L494" s="68"/>
      <c r="M494" s="69"/>
      <c r="N494" s="70"/>
      <c r="O494" s="71"/>
      <c r="P494" s="72"/>
      <c r="Q494" s="73"/>
      <c r="S494" s="64"/>
    </row>
    <row r="495" ht="15.75" customHeight="1">
      <c r="F495" s="64"/>
      <c r="I495" s="65"/>
      <c r="J495" s="66"/>
      <c r="K495" s="67"/>
      <c r="L495" s="68"/>
      <c r="M495" s="69"/>
      <c r="N495" s="70"/>
      <c r="O495" s="71"/>
      <c r="P495" s="72"/>
      <c r="Q495" s="73"/>
      <c r="S495" s="64"/>
    </row>
    <row r="496" ht="15.75" customHeight="1">
      <c r="F496" s="64"/>
      <c r="I496" s="65"/>
      <c r="J496" s="66"/>
      <c r="K496" s="67"/>
      <c r="L496" s="68"/>
      <c r="M496" s="69"/>
      <c r="N496" s="70"/>
      <c r="O496" s="71"/>
      <c r="P496" s="72"/>
      <c r="Q496" s="73"/>
      <c r="S496" s="64"/>
    </row>
    <row r="497" ht="15.75" customHeight="1">
      <c r="F497" s="64"/>
      <c r="I497" s="65"/>
      <c r="J497" s="66"/>
      <c r="K497" s="67"/>
      <c r="L497" s="68"/>
      <c r="M497" s="69"/>
      <c r="N497" s="70"/>
      <c r="O497" s="71"/>
      <c r="P497" s="72"/>
      <c r="Q497" s="73"/>
      <c r="S497" s="64"/>
    </row>
    <row r="498" ht="15.75" customHeight="1">
      <c r="F498" s="64"/>
      <c r="I498" s="65"/>
      <c r="J498" s="66"/>
      <c r="K498" s="67"/>
      <c r="L498" s="68"/>
      <c r="M498" s="69"/>
      <c r="N498" s="70"/>
      <c r="O498" s="71"/>
      <c r="P498" s="72"/>
      <c r="Q498" s="73"/>
      <c r="S498" s="64"/>
    </row>
    <row r="499" ht="15.75" customHeight="1">
      <c r="F499" s="64"/>
      <c r="I499" s="65"/>
      <c r="J499" s="66"/>
      <c r="K499" s="67"/>
      <c r="L499" s="68"/>
      <c r="M499" s="69"/>
      <c r="N499" s="70"/>
      <c r="O499" s="71"/>
      <c r="P499" s="72"/>
      <c r="Q499" s="73"/>
      <c r="S499" s="64"/>
    </row>
    <row r="500" ht="15.75" customHeight="1">
      <c r="F500" s="64"/>
      <c r="I500" s="65"/>
      <c r="J500" s="66"/>
      <c r="K500" s="67"/>
      <c r="L500" s="68"/>
      <c r="M500" s="69"/>
      <c r="N500" s="70"/>
      <c r="O500" s="71"/>
      <c r="P500" s="72"/>
      <c r="Q500" s="73"/>
      <c r="S500" s="64"/>
    </row>
    <row r="501" ht="15.75" customHeight="1">
      <c r="F501" s="64"/>
      <c r="I501" s="65"/>
      <c r="J501" s="66"/>
      <c r="K501" s="67"/>
      <c r="L501" s="68"/>
      <c r="M501" s="69"/>
      <c r="N501" s="70"/>
      <c r="O501" s="71"/>
      <c r="P501" s="72"/>
      <c r="Q501" s="73"/>
      <c r="S501" s="64"/>
    </row>
    <row r="502" ht="15.75" customHeight="1">
      <c r="F502" s="64"/>
      <c r="I502" s="65"/>
      <c r="J502" s="66"/>
      <c r="K502" s="67"/>
      <c r="L502" s="68"/>
      <c r="M502" s="69"/>
      <c r="N502" s="70"/>
      <c r="O502" s="71"/>
      <c r="P502" s="72"/>
      <c r="Q502" s="73"/>
      <c r="S502" s="64"/>
    </row>
    <row r="503" ht="15.75" customHeight="1">
      <c r="F503" s="64"/>
      <c r="I503" s="65"/>
      <c r="J503" s="66"/>
      <c r="K503" s="67"/>
      <c r="L503" s="68"/>
      <c r="M503" s="69"/>
      <c r="N503" s="70"/>
      <c r="O503" s="71"/>
      <c r="P503" s="72"/>
      <c r="Q503" s="73"/>
      <c r="S503" s="64"/>
    </row>
    <row r="504" ht="15.75" customHeight="1">
      <c r="F504" s="64"/>
      <c r="I504" s="65"/>
      <c r="J504" s="66"/>
      <c r="K504" s="67"/>
      <c r="L504" s="68"/>
      <c r="M504" s="69"/>
      <c r="N504" s="70"/>
      <c r="O504" s="71"/>
      <c r="P504" s="72"/>
      <c r="Q504" s="73"/>
      <c r="S504" s="64"/>
    </row>
    <row r="505" ht="15.75" customHeight="1">
      <c r="F505" s="64"/>
      <c r="I505" s="65"/>
      <c r="J505" s="66"/>
      <c r="K505" s="67"/>
      <c r="L505" s="68"/>
      <c r="M505" s="69"/>
      <c r="N505" s="70"/>
      <c r="O505" s="71"/>
      <c r="P505" s="72"/>
      <c r="Q505" s="73"/>
      <c r="S505" s="64"/>
    </row>
    <row r="506" ht="15.75" customHeight="1">
      <c r="F506" s="64"/>
      <c r="I506" s="65"/>
      <c r="J506" s="66"/>
      <c r="K506" s="67"/>
      <c r="L506" s="68"/>
      <c r="M506" s="69"/>
      <c r="N506" s="70"/>
      <c r="O506" s="71"/>
      <c r="P506" s="72"/>
      <c r="Q506" s="73"/>
      <c r="S506" s="64"/>
    </row>
    <row r="507" ht="15.75" customHeight="1">
      <c r="F507" s="64"/>
      <c r="I507" s="65"/>
      <c r="J507" s="66"/>
      <c r="K507" s="67"/>
      <c r="L507" s="68"/>
      <c r="M507" s="69"/>
      <c r="N507" s="70"/>
      <c r="O507" s="71"/>
      <c r="P507" s="72"/>
      <c r="Q507" s="73"/>
      <c r="S507" s="64"/>
    </row>
    <row r="508" ht="15.75" customHeight="1">
      <c r="F508" s="64"/>
      <c r="I508" s="65"/>
      <c r="J508" s="66"/>
      <c r="K508" s="67"/>
      <c r="L508" s="68"/>
      <c r="M508" s="69"/>
      <c r="N508" s="70"/>
      <c r="O508" s="71"/>
      <c r="P508" s="72"/>
      <c r="Q508" s="73"/>
      <c r="S508" s="64"/>
    </row>
    <row r="509" ht="15.75" customHeight="1">
      <c r="F509" s="64"/>
      <c r="I509" s="65"/>
      <c r="J509" s="66"/>
      <c r="K509" s="67"/>
      <c r="L509" s="68"/>
      <c r="M509" s="69"/>
      <c r="N509" s="70"/>
      <c r="O509" s="71"/>
      <c r="P509" s="72"/>
      <c r="Q509" s="73"/>
      <c r="S509" s="64"/>
    </row>
    <row r="510" ht="15.75" customHeight="1">
      <c r="F510" s="64"/>
      <c r="I510" s="65"/>
      <c r="J510" s="66"/>
      <c r="K510" s="67"/>
      <c r="L510" s="68"/>
      <c r="M510" s="69"/>
      <c r="N510" s="70"/>
      <c r="O510" s="71"/>
      <c r="P510" s="72"/>
      <c r="Q510" s="73"/>
      <c r="S510" s="64"/>
    </row>
    <row r="511" ht="15.75" customHeight="1">
      <c r="F511" s="64"/>
      <c r="I511" s="65"/>
      <c r="J511" s="66"/>
      <c r="K511" s="67"/>
      <c r="L511" s="68"/>
      <c r="M511" s="69"/>
      <c r="N511" s="70"/>
      <c r="O511" s="71"/>
      <c r="P511" s="72"/>
      <c r="Q511" s="73"/>
      <c r="S511" s="64"/>
    </row>
    <row r="512" ht="15.75" customHeight="1">
      <c r="F512" s="64"/>
      <c r="I512" s="65"/>
      <c r="J512" s="66"/>
      <c r="K512" s="67"/>
      <c r="L512" s="68"/>
      <c r="M512" s="69"/>
      <c r="N512" s="70"/>
      <c r="O512" s="71"/>
      <c r="P512" s="72"/>
      <c r="Q512" s="73"/>
      <c r="S512" s="64"/>
    </row>
    <row r="513" ht="15.75" customHeight="1">
      <c r="F513" s="64"/>
      <c r="I513" s="65"/>
      <c r="J513" s="66"/>
      <c r="K513" s="67"/>
      <c r="L513" s="68"/>
      <c r="M513" s="69"/>
      <c r="N513" s="70"/>
      <c r="O513" s="71"/>
      <c r="P513" s="72"/>
      <c r="Q513" s="73"/>
      <c r="S513" s="64"/>
    </row>
    <row r="514" ht="15.75" customHeight="1">
      <c r="F514" s="64"/>
      <c r="I514" s="65"/>
      <c r="J514" s="66"/>
      <c r="K514" s="67"/>
      <c r="L514" s="68"/>
      <c r="M514" s="69"/>
      <c r="N514" s="70"/>
      <c r="O514" s="71"/>
      <c r="P514" s="72"/>
      <c r="Q514" s="73"/>
      <c r="S514" s="64"/>
    </row>
    <row r="515" ht="15.75" customHeight="1">
      <c r="F515" s="64"/>
      <c r="I515" s="65"/>
      <c r="J515" s="66"/>
      <c r="K515" s="67"/>
      <c r="L515" s="68"/>
      <c r="M515" s="69"/>
      <c r="N515" s="70"/>
      <c r="O515" s="71"/>
      <c r="P515" s="72"/>
      <c r="Q515" s="73"/>
      <c r="S515" s="64"/>
    </row>
    <row r="516" ht="15.75" customHeight="1">
      <c r="F516" s="64"/>
      <c r="I516" s="65"/>
      <c r="J516" s="66"/>
      <c r="K516" s="67"/>
      <c r="L516" s="68"/>
      <c r="M516" s="69"/>
      <c r="N516" s="70"/>
      <c r="O516" s="71"/>
      <c r="P516" s="72"/>
      <c r="Q516" s="73"/>
      <c r="S516" s="64"/>
    </row>
    <row r="517" ht="15.75" customHeight="1">
      <c r="F517" s="64"/>
      <c r="I517" s="65"/>
      <c r="J517" s="66"/>
      <c r="K517" s="67"/>
      <c r="L517" s="68"/>
      <c r="M517" s="69"/>
      <c r="N517" s="70"/>
      <c r="O517" s="71"/>
      <c r="P517" s="72"/>
      <c r="Q517" s="73"/>
      <c r="S517" s="64"/>
    </row>
    <row r="518" ht="15.75" customHeight="1">
      <c r="F518" s="64"/>
      <c r="I518" s="65"/>
      <c r="J518" s="66"/>
      <c r="K518" s="67"/>
      <c r="L518" s="68"/>
      <c r="M518" s="69"/>
      <c r="N518" s="70"/>
      <c r="O518" s="71"/>
      <c r="P518" s="72"/>
      <c r="Q518" s="73"/>
      <c r="S518" s="64"/>
    </row>
    <row r="519" ht="15.75" customHeight="1">
      <c r="F519" s="64"/>
      <c r="I519" s="65"/>
      <c r="J519" s="66"/>
      <c r="K519" s="67"/>
      <c r="L519" s="68"/>
      <c r="M519" s="69"/>
      <c r="N519" s="70"/>
      <c r="O519" s="71"/>
      <c r="P519" s="72"/>
      <c r="Q519" s="73"/>
      <c r="S519" s="64"/>
    </row>
    <row r="520" ht="15.75" customHeight="1">
      <c r="F520" s="64"/>
      <c r="I520" s="65"/>
      <c r="J520" s="66"/>
      <c r="K520" s="67"/>
      <c r="L520" s="68"/>
      <c r="M520" s="69"/>
      <c r="N520" s="70"/>
      <c r="O520" s="71"/>
      <c r="P520" s="72"/>
      <c r="Q520" s="73"/>
      <c r="S520" s="64"/>
    </row>
    <row r="521" ht="15.75" customHeight="1">
      <c r="F521" s="64"/>
      <c r="I521" s="65"/>
      <c r="J521" s="66"/>
      <c r="K521" s="67"/>
      <c r="L521" s="68"/>
      <c r="M521" s="69"/>
      <c r="N521" s="70"/>
      <c r="O521" s="71"/>
      <c r="P521" s="72"/>
      <c r="Q521" s="73"/>
      <c r="S521" s="64"/>
    </row>
    <row r="522" ht="15.75" customHeight="1">
      <c r="F522" s="64"/>
      <c r="I522" s="65"/>
      <c r="J522" s="66"/>
      <c r="K522" s="67"/>
      <c r="L522" s="68"/>
      <c r="M522" s="69"/>
      <c r="N522" s="70"/>
      <c r="O522" s="71"/>
      <c r="P522" s="72"/>
      <c r="Q522" s="73"/>
      <c r="S522" s="64"/>
    </row>
    <row r="523" ht="15.75" customHeight="1">
      <c r="F523" s="64"/>
      <c r="I523" s="65"/>
      <c r="J523" s="66"/>
      <c r="K523" s="67"/>
      <c r="L523" s="68"/>
      <c r="M523" s="69"/>
      <c r="N523" s="70"/>
      <c r="O523" s="71"/>
      <c r="P523" s="72"/>
      <c r="Q523" s="73"/>
      <c r="S523" s="64"/>
    </row>
    <row r="524" ht="15.75" customHeight="1">
      <c r="F524" s="64"/>
      <c r="I524" s="65"/>
      <c r="J524" s="66"/>
      <c r="K524" s="67"/>
      <c r="L524" s="68"/>
      <c r="M524" s="69"/>
      <c r="N524" s="70"/>
      <c r="O524" s="71"/>
      <c r="P524" s="72"/>
      <c r="Q524" s="73"/>
      <c r="S524" s="64"/>
    </row>
    <row r="525" ht="15.75" customHeight="1">
      <c r="F525" s="64"/>
      <c r="I525" s="65"/>
      <c r="J525" s="66"/>
      <c r="K525" s="67"/>
      <c r="L525" s="68"/>
      <c r="M525" s="69"/>
      <c r="N525" s="70"/>
      <c r="O525" s="71"/>
      <c r="P525" s="72"/>
      <c r="Q525" s="73"/>
      <c r="S525" s="64"/>
    </row>
    <row r="526" ht="15.75" customHeight="1">
      <c r="F526" s="64"/>
      <c r="I526" s="65"/>
      <c r="J526" s="66"/>
      <c r="K526" s="67"/>
      <c r="L526" s="68"/>
      <c r="M526" s="69"/>
      <c r="N526" s="70"/>
      <c r="O526" s="71"/>
      <c r="P526" s="72"/>
      <c r="Q526" s="73"/>
      <c r="S526" s="64"/>
    </row>
    <row r="527" ht="15.75" customHeight="1">
      <c r="F527" s="64"/>
      <c r="I527" s="65"/>
      <c r="J527" s="66"/>
      <c r="K527" s="67"/>
      <c r="L527" s="68"/>
      <c r="M527" s="69"/>
      <c r="N527" s="70"/>
      <c r="O527" s="71"/>
      <c r="P527" s="72"/>
      <c r="Q527" s="73"/>
      <c r="S527" s="64"/>
    </row>
    <row r="528" ht="15.75" customHeight="1">
      <c r="F528" s="64"/>
      <c r="I528" s="65"/>
      <c r="J528" s="66"/>
      <c r="K528" s="67"/>
      <c r="L528" s="68"/>
      <c r="M528" s="69"/>
      <c r="N528" s="70"/>
      <c r="O528" s="71"/>
      <c r="P528" s="72"/>
      <c r="Q528" s="73"/>
      <c r="S528" s="64"/>
    </row>
    <row r="529" ht="15.75" customHeight="1">
      <c r="F529" s="64"/>
      <c r="I529" s="65"/>
      <c r="J529" s="66"/>
      <c r="K529" s="67"/>
      <c r="L529" s="68"/>
      <c r="M529" s="69"/>
      <c r="N529" s="70"/>
      <c r="O529" s="71"/>
      <c r="P529" s="72"/>
      <c r="Q529" s="73"/>
      <c r="S529" s="64"/>
    </row>
    <row r="530" ht="15.75" customHeight="1">
      <c r="F530" s="64"/>
      <c r="I530" s="65"/>
      <c r="J530" s="66"/>
      <c r="K530" s="67"/>
      <c r="L530" s="68"/>
      <c r="M530" s="69"/>
      <c r="N530" s="70"/>
      <c r="O530" s="71"/>
      <c r="P530" s="72"/>
      <c r="Q530" s="73"/>
      <c r="S530" s="64"/>
    </row>
    <row r="531" ht="15.75" customHeight="1">
      <c r="F531" s="64"/>
      <c r="I531" s="65"/>
      <c r="J531" s="66"/>
      <c r="K531" s="67"/>
      <c r="L531" s="68"/>
      <c r="M531" s="69"/>
      <c r="N531" s="70"/>
      <c r="O531" s="71"/>
      <c r="P531" s="72"/>
      <c r="Q531" s="73"/>
      <c r="S531" s="64"/>
    </row>
    <row r="532" ht="15.75" customHeight="1">
      <c r="F532" s="64"/>
      <c r="I532" s="65"/>
      <c r="J532" s="66"/>
      <c r="K532" s="67"/>
      <c r="L532" s="68"/>
      <c r="M532" s="69"/>
      <c r="N532" s="70"/>
      <c r="O532" s="71"/>
      <c r="P532" s="72"/>
      <c r="Q532" s="73"/>
      <c r="S532" s="64"/>
    </row>
    <row r="533" ht="15.75" customHeight="1">
      <c r="F533" s="64"/>
      <c r="I533" s="65"/>
      <c r="J533" s="66"/>
      <c r="K533" s="67"/>
      <c r="L533" s="68"/>
      <c r="M533" s="69"/>
      <c r="N533" s="70"/>
      <c r="O533" s="71"/>
      <c r="P533" s="72"/>
      <c r="Q533" s="73"/>
      <c r="S533" s="64"/>
    </row>
    <row r="534" ht="15.75" customHeight="1">
      <c r="F534" s="64"/>
      <c r="I534" s="65"/>
      <c r="J534" s="66"/>
      <c r="K534" s="67"/>
      <c r="L534" s="68"/>
      <c r="M534" s="69"/>
      <c r="N534" s="70"/>
      <c r="O534" s="71"/>
      <c r="P534" s="72"/>
      <c r="Q534" s="73"/>
      <c r="S534" s="64"/>
    </row>
    <row r="535" ht="15.75" customHeight="1">
      <c r="F535" s="64"/>
      <c r="I535" s="65"/>
      <c r="J535" s="66"/>
      <c r="K535" s="67"/>
      <c r="L535" s="68"/>
      <c r="M535" s="69"/>
      <c r="N535" s="70"/>
      <c r="O535" s="71"/>
      <c r="P535" s="72"/>
      <c r="Q535" s="73"/>
      <c r="S535" s="64"/>
    </row>
    <row r="536" ht="15.75" customHeight="1">
      <c r="F536" s="64"/>
      <c r="I536" s="65"/>
      <c r="J536" s="66"/>
      <c r="K536" s="67"/>
      <c r="L536" s="68"/>
      <c r="M536" s="69"/>
      <c r="N536" s="70"/>
      <c r="O536" s="71"/>
      <c r="P536" s="72"/>
      <c r="Q536" s="73"/>
      <c r="S536" s="64"/>
    </row>
    <row r="537" ht="15.75" customHeight="1">
      <c r="F537" s="64"/>
      <c r="I537" s="65"/>
      <c r="J537" s="66"/>
      <c r="K537" s="67"/>
      <c r="L537" s="68"/>
      <c r="M537" s="69"/>
      <c r="N537" s="70"/>
      <c r="O537" s="71"/>
      <c r="P537" s="72"/>
      <c r="Q537" s="73"/>
      <c r="S537" s="64"/>
    </row>
    <row r="538" ht="15.75" customHeight="1">
      <c r="F538" s="64"/>
      <c r="I538" s="65"/>
      <c r="J538" s="66"/>
      <c r="K538" s="67"/>
      <c r="L538" s="68"/>
      <c r="M538" s="69"/>
      <c r="N538" s="70"/>
      <c r="O538" s="71"/>
      <c r="P538" s="72"/>
      <c r="Q538" s="73"/>
      <c r="S538" s="64"/>
    </row>
    <row r="539" ht="15.75" customHeight="1">
      <c r="F539" s="64"/>
      <c r="I539" s="65"/>
      <c r="J539" s="66"/>
      <c r="K539" s="67"/>
      <c r="L539" s="68"/>
      <c r="M539" s="69"/>
      <c r="N539" s="70"/>
      <c r="O539" s="71"/>
      <c r="P539" s="72"/>
      <c r="Q539" s="73"/>
      <c r="S539" s="64"/>
    </row>
    <row r="540" ht="15.75" customHeight="1">
      <c r="F540" s="64"/>
      <c r="I540" s="65"/>
      <c r="J540" s="66"/>
      <c r="K540" s="67"/>
      <c r="L540" s="68"/>
      <c r="M540" s="69"/>
      <c r="N540" s="70"/>
      <c r="O540" s="71"/>
      <c r="P540" s="72"/>
      <c r="Q540" s="73"/>
      <c r="S540" s="64"/>
    </row>
    <row r="541" ht="15.75" customHeight="1">
      <c r="F541" s="64"/>
      <c r="I541" s="65"/>
      <c r="J541" s="66"/>
      <c r="K541" s="67"/>
      <c r="L541" s="68"/>
      <c r="M541" s="69"/>
      <c r="N541" s="70"/>
      <c r="O541" s="71"/>
      <c r="P541" s="72"/>
      <c r="Q541" s="73"/>
      <c r="S541" s="64"/>
    </row>
    <row r="542" ht="15.75" customHeight="1">
      <c r="F542" s="64"/>
      <c r="I542" s="65"/>
      <c r="J542" s="66"/>
      <c r="K542" s="67"/>
      <c r="L542" s="68"/>
      <c r="M542" s="69"/>
      <c r="N542" s="70"/>
      <c r="O542" s="71"/>
      <c r="P542" s="72"/>
      <c r="Q542" s="73"/>
      <c r="S542" s="64"/>
    </row>
    <row r="543" ht="15.75" customHeight="1">
      <c r="F543" s="64"/>
      <c r="I543" s="65"/>
      <c r="J543" s="66"/>
      <c r="K543" s="67"/>
      <c r="L543" s="68"/>
      <c r="M543" s="69"/>
      <c r="N543" s="70"/>
      <c r="O543" s="71"/>
      <c r="P543" s="72"/>
      <c r="Q543" s="73"/>
      <c r="S543" s="64"/>
    </row>
    <row r="544" ht="15.75" customHeight="1">
      <c r="F544" s="64"/>
      <c r="I544" s="65"/>
      <c r="J544" s="66"/>
      <c r="K544" s="67"/>
      <c r="L544" s="68"/>
      <c r="M544" s="69"/>
      <c r="N544" s="70"/>
      <c r="O544" s="71"/>
      <c r="P544" s="72"/>
      <c r="Q544" s="73"/>
      <c r="S544" s="64"/>
    </row>
    <row r="545" ht="15.75" customHeight="1">
      <c r="F545" s="64"/>
      <c r="I545" s="65"/>
      <c r="J545" s="66"/>
      <c r="K545" s="67"/>
      <c r="L545" s="68"/>
      <c r="M545" s="69"/>
      <c r="N545" s="70"/>
      <c r="O545" s="71"/>
      <c r="P545" s="72"/>
      <c r="Q545" s="73"/>
      <c r="S545" s="64"/>
    </row>
    <row r="546" ht="15.75" customHeight="1">
      <c r="F546" s="64"/>
      <c r="I546" s="65"/>
      <c r="J546" s="66"/>
      <c r="K546" s="67"/>
      <c r="L546" s="68"/>
      <c r="M546" s="69"/>
      <c r="N546" s="70"/>
      <c r="O546" s="71"/>
      <c r="P546" s="72"/>
      <c r="Q546" s="73"/>
      <c r="S546" s="64"/>
    </row>
    <row r="547" ht="15.75" customHeight="1">
      <c r="F547" s="64"/>
      <c r="I547" s="65"/>
      <c r="J547" s="66"/>
      <c r="K547" s="67"/>
      <c r="L547" s="68"/>
      <c r="M547" s="69"/>
      <c r="N547" s="70"/>
      <c r="O547" s="71"/>
      <c r="P547" s="72"/>
      <c r="Q547" s="73"/>
      <c r="S547" s="64"/>
    </row>
    <row r="548" ht="15.75" customHeight="1">
      <c r="F548" s="64"/>
      <c r="I548" s="65"/>
      <c r="J548" s="66"/>
      <c r="K548" s="67"/>
      <c r="L548" s="68"/>
      <c r="M548" s="69"/>
      <c r="N548" s="70"/>
      <c r="O548" s="71"/>
      <c r="P548" s="72"/>
      <c r="Q548" s="73"/>
      <c r="S548" s="64"/>
    </row>
    <row r="549" ht="15.75" customHeight="1">
      <c r="F549" s="64"/>
      <c r="I549" s="65"/>
      <c r="J549" s="66"/>
      <c r="K549" s="67"/>
      <c r="L549" s="68"/>
      <c r="M549" s="69"/>
      <c r="N549" s="70"/>
      <c r="O549" s="71"/>
      <c r="P549" s="72"/>
      <c r="Q549" s="73"/>
      <c r="S549" s="64"/>
    </row>
    <row r="550" ht="15.75" customHeight="1">
      <c r="F550" s="64"/>
      <c r="I550" s="65"/>
      <c r="J550" s="66"/>
      <c r="K550" s="67"/>
      <c r="L550" s="68"/>
      <c r="M550" s="69"/>
      <c r="N550" s="70"/>
      <c r="O550" s="71"/>
      <c r="P550" s="72"/>
      <c r="Q550" s="73"/>
      <c r="S550" s="64"/>
    </row>
    <row r="551" ht="15.75" customHeight="1">
      <c r="F551" s="64"/>
      <c r="I551" s="65"/>
      <c r="J551" s="66"/>
      <c r="K551" s="67"/>
      <c r="L551" s="68"/>
      <c r="M551" s="69"/>
      <c r="N551" s="70"/>
      <c r="O551" s="71"/>
      <c r="P551" s="72"/>
      <c r="Q551" s="73"/>
      <c r="S551" s="64"/>
    </row>
    <row r="552" ht="15.75" customHeight="1">
      <c r="F552" s="64"/>
      <c r="I552" s="65"/>
      <c r="J552" s="66"/>
      <c r="K552" s="67"/>
      <c r="L552" s="68"/>
      <c r="M552" s="69"/>
      <c r="N552" s="70"/>
      <c r="O552" s="71"/>
      <c r="P552" s="72"/>
      <c r="Q552" s="73"/>
      <c r="S552" s="64"/>
    </row>
    <row r="553" ht="15.75" customHeight="1">
      <c r="F553" s="64"/>
      <c r="I553" s="65"/>
      <c r="J553" s="66"/>
      <c r="K553" s="67"/>
      <c r="L553" s="68"/>
      <c r="M553" s="69"/>
      <c r="N553" s="70"/>
      <c r="O553" s="71"/>
      <c r="P553" s="72"/>
      <c r="Q553" s="73"/>
      <c r="S553" s="64"/>
    </row>
    <row r="554" ht="15.75" customHeight="1">
      <c r="F554" s="64"/>
      <c r="I554" s="65"/>
      <c r="J554" s="66"/>
      <c r="K554" s="67"/>
      <c r="L554" s="68"/>
      <c r="M554" s="69"/>
      <c r="N554" s="70"/>
      <c r="O554" s="71"/>
      <c r="P554" s="72"/>
      <c r="Q554" s="73"/>
      <c r="S554" s="64"/>
    </row>
    <row r="555" ht="15.75" customHeight="1">
      <c r="F555" s="64"/>
      <c r="I555" s="65"/>
      <c r="J555" s="66"/>
      <c r="K555" s="67"/>
      <c r="L555" s="68"/>
      <c r="M555" s="69"/>
      <c r="N555" s="70"/>
      <c r="O555" s="71"/>
      <c r="P555" s="72"/>
      <c r="Q555" s="73"/>
      <c r="S555" s="64"/>
    </row>
    <row r="556" ht="15.75" customHeight="1">
      <c r="F556" s="64"/>
      <c r="I556" s="65"/>
      <c r="J556" s="66"/>
      <c r="K556" s="67"/>
      <c r="L556" s="68"/>
      <c r="M556" s="69"/>
      <c r="N556" s="70"/>
      <c r="O556" s="71"/>
      <c r="P556" s="72"/>
      <c r="Q556" s="73"/>
      <c r="S556" s="64"/>
    </row>
    <row r="557" ht="15.75" customHeight="1">
      <c r="F557" s="64"/>
      <c r="I557" s="65"/>
      <c r="J557" s="66"/>
      <c r="K557" s="67"/>
      <c r="L557" s="68"/>
      <c r="M557" s="69"/>
      <c r="N557" s="70"/>
      <c r="O557" s="71"/>
      <c r="P557" s="72"/>
      <c r="Q557" s="73"/>
      <c r="S557" s="64"/>
    </row>
    <row r="558" ht="15.75" customHeight="1">
      <c r="F558" s="64"/>
      <c r="I558" s="65"/>
      <c r="J558" s="66"/>
      <c r="K558" s="67"/>
      <c r="L558" s="68"/>
      <c r="M558" s="69"/>
      <c r="N558" s="70"/>
      <c r="O558" s="71"/>
      <c r="P558" s="72"/>
      <c r="Q558" s="73"/>
      <c r="S558" s="64"/>
    </row>
    <row r="559" ht="15.75" customHeight="1">
      <c r="F559" s="64"/>
      <c r="I559" s="65"/>
      <c r="J559" s="66"/>
      <c r="K559" s="67"/>
      <c r="L559" s="68"/>
      <c r="M559" s="69"/>
      <c r="N559" s="70"/>
      <c r="O559" s="71"/>
      <c r="P559" s="72"/>
      <c r="Q559" s="73"/>
      <c r="S559" s="64"/>
    </row>
    <row r="560" ht="15.75" customHeight="1">
      <c r="F560" s="64"/>
      <c r="I560" s="65"/>
      <c r="J560" s="66"/>
      <c r="K560" s="67"/>
      <c r="L560" s="68"/>
      <c r="M560" s="69"/>
      <c r="N560" s="70"/>
      <c r="O560" s="71"/>
      <c r="P560" s="72"/>
      <c r="Q560" s="73"/>
      <c r="S560" s="64"/>
    </row>
    <row r="561" ht="15.75" customHeight="1">
      <c r="F561" s="64"/>
      <c r="I561" s="65"/>
      <c r="J561" s="66"/>
      <c r="K561" s="67"/>
      <c r="L561" s="68"/>
      <c r="M561" s="69"/>
      <c r="N561" s="70"/>
      <c r="O561" s="71"/>
      <c r="P561" s="72"/>
      <c r="Q561" s="73"/>
      <c r="S561" s="64"/>
    </row>
    <row r="562" ht="15.75" customHeight="1">
      <c r="F562" s="64"/>
      <c r="I562" s="65"/>
      <c r="J562" s="66"/>
      <c r="K562" s="67"/>
      <c r="L562" s="68"/>
      <c r="M562" s="69"/>
      <c r="N562" s="70"/>
      <c r="O562" s="71"/>
      <c r="P562" s="72"/>
      <c r="Q562" s="73"/>
      <c r="S562" s="64"/>
    </row>
    <row r="563" ht="15.75" customHeight="1">
      <c r="F563" s="64"/>
      <c r="I563" s="65"/>
      <c r="J563" s="66"/>
      <c r="K563" s="67"/>
      <c r="L563" s="68"/>
      <c r="M563" s="69"/>
      <c r="N563" s="70"/>
      <c r="O563" s="71"/>
      <c r="P563" s="72"/>
      <c r="Q563" s="73"/>
      <c r="S563" s="64"/>
    </row>
    <row r="564" ht="15.75" customHeight="1">
      <c r="F564" s="64"/>
      <c r="I564" s="65"/>
      <c r="J564" s="66"/>
      <c r="K564" s="67"/>
      <c r="L564" s="68"/>
      <c r="M564" s="69"/>
      <c r="N564" s="70"/>
      <c r="O564" s="71"/>
      <c r="P564" s="72"/>
      <c r="Q564" s="73"/>
      <c r="S564" s="64"/>
    </row>
    <row r="565" ht="15.75" customHeight="1">
      <c r="F565" s="64"/>
      <c r="I565" s="65"/>
      <c r="J565" s="66"/>
      <c r="K565" s="67"/>
      <c r="L565" s="68"/>
      <c r="M565" s="69"/>
      <c r="N565" s="70"/>
      <c r="O565" s="71"/>
      <c r="P565" s="72"/>
      <c r="Q565" s="73"/>
      <c r="S565" s="64"/>
    </row>
    <row r="566" ht="15.75" customHeight="1">
      <c r="F566" s="64"/>
      <c r="I566" s="65"/>
      <c r="J566" s="66"/>
      <c r="K566" s="67"/>
      <c r="L566" s="68"/>
      <c r="M566" s="69"/>
      <c r="N566" s="70"/>
      <c r="O566" s="71"/>
      <c r="P566" s="72"/>
      <c r="Q566" s="73"/>
      <c r="S566" s="64"/>
    </row>
    <row r="567" ht="15.75" customHeight="1">
      <c r="F567" s="64"/>
      <c r="I567" s="65"/>
      <c r="J567" s="66"/>
      <c r="K567" s="67"/>
      <c r="L567" s="68"/>
      <c r="M567" s="69"/>
      <c r="N567" s="70"/>
      <c r="O567" s="71"/>
      <c r="P567" s="72"/>
      <c r="Q567" s="73"/>
      <c r="S567" s="64"/>
    </row>
    <row r="568" ht="15.75" customHeight="1">
      <c r="F568" s="64"/>
      <c r="I568" s="65"/>
      <c r="J568" s="66"/>
      <c r="K568" s="67"/>
      <c r="L568" s="68"/>
      <c r="M568" s="69"/>
      <c r="N568" s="70"/>
      <c r="O568" s="71"/>
      <c r="P568" s="72"/>
      <c r="Q568" s="73"/>
      <c r="S568" s="64"/>
    </row>
    <row r="569" ht="15.75" customHeight="1">
      <c r="F569" s="64"/>
      <c r="I569" s="65"/>
      <c r="J569" s="66"/>
      <c r="K569" s="67"/>
      <c r="L569" s="68"/>
      <c r="M569" s="69"/>
      <c r="N569" s="70"/>
      <c r="O569" s="71"/>
      <c r="P569" s="72"/>
      <c r="Q569" s="73"/>
      <c r="S569" s="64"/>
    </row>
    <row r="570" ht="15.75" customHeight="1">
      <c r="F570" s="64"/>
      <c r="I570" s="65"/>
      <c r="J570" s="66"/>
      <c r="K570" s="67"/>
      <c r="L570" s="68"/>
      <c r="M570" s="69"/>
      <c r="N570" s="70"/>
      <c r="O570" s="71"/>
      <c r="P570" s="72"/>
      <c r="Q570" s="73"/>
      <c r="S570" s="64"/>
    </row>
    <row r="571" ht="15.75" customHeight="1">
      <c r="F571" s="64"/>
      <c r="I571" s="65"/>
      <c r="J571" s="66"/>
      <c r="K571" s="67"/>
      <c r="L571" s="68"/>
      <c r="M571" s="69"/>
      <c r="N571" s="70"/>
      <c r="O571" s="71"/>
      <c r="P571" s="72"/>
      <c r="Q571" s="73"/>
      <c r="S571" s="64"/>
    </row>
    <row r="572" ht="15.75" customHeight="1">
      <c r="F572" s="64"/>
      <c r="I572" s="65"/>
      <c r="J572" s="66"/>
      <c r="K572" s="67"/>
      <c r="L572" s="68"/>
      <c r="M572" s="69"/>
      <c r="N572" s="70"/>
      <c r="O572" s="71"/>
      <c r="P572" s="72"/>
      <c r="Q572" s="73"/>
      <c r="S572" s="64"/>
    </row>
    <row r="573" ht="15.75" customHeight="1">
      <c r="F573" s="64"/>
      <c r="I573" s="65"/>
      <c r="J573" s="66"/>
      <c r="K573" s="67"/>
      <c r="L573" s="68"/>
      <c r="M573" s="69"/>
      <c r="N573" s="70"/>
      <c r="O573" s="71"/>
      <c r="P573" s="72"/>
      <c r="Q573" s="73"/>
      <c r="S573" s="64"/>
    </row>
    <row r="574" ht="15.75" customHeight="1">
      <c r="F574" s="64"/>
      <c r="I574" s="65"/>
      <c r="J574" s="66"/>
      <c r="K574" s="67"/>
      <c r="L574" s="68"/>
      <c r="M574" s="69"/>
      <c r="N574" s="70"/>
      <c r="O574" s="71"/>
      <c r="P574" s="72"/>
      <c r="Q574" s="73"/>
      <c r="S574" s="64"/>
    </row>
    <row r="575" ht="15.75" customHeight="1">
      <c r="F575" s="64"/>
      <c r="I575" s="65"/>
      <c r="J575" s="66"/>
      <c r="K575" s="67"/>
      <c r="L575" s="68"/>
      <c r="M575" s="69"/>
      <c r="N575" s="70"/>
      <c r="O575" s="71"/>
      <c r="P575" s="72"/>
      <c r="Q575" s="73"/>
      <c r="S575" s="64"/>
    </row>
    <row r="576" ht="15.75" customHeight="1">
      <c r="F576" s="64"/>
      <c r="I576" s="65"/>
      <c r="J576" s="66"/>
      <c r="K576" s="67"/>
      <c r="L576" s="68"/>
      <c r="M576" s="69"/>
      <c r="N576" s="70"/>
      <c r="O576" s="71"/>
      <c r="P576" s="72"/>
      <c r="Q576" s="73"/>
      <c r="S576" s="64"/>
    </row>
    <row r="577" ht="15.75" customHeight="1">
      <c r="F577" s="64"/>
      <c r="I577" s="65"/>
      <c r="J577" s="66"/>
      <c r="K577" s="67"/>
      <c r="L577" s="68"/>
      <c r="M577" s="69"/>
      <c r="N577" s="70"/>
      <c r="O577" s="71"/>
      <c r="P577" s="72"/>
      <c r="Q577" s="73"/>
      <c r="S577" s="64"/>
    </row>
    <row r="578" ht="15.75" customHeight="1">
      <c r="F578" s="64"/>
      <c r="I578" s="65"/>
      <c r="J578" s="66"/>
      <c r="K578" s="67"/>
      <c r="L578" s="68"/>
      <c r="M578" s="69"/>
      <c r="N578" s="70"/>
      <c r="O578" s="71"/>
      <c r="P578" s="72"/>
      <c r="Q578" s="73"/>
      <c r="S578" s="64"/>
    </row>
    <row r="579" ht="15.75" customHeight="1">
      <c r="F579" s="64"/>
      <c r="I579" s="65"/>
      <c r="J579" s="66"/>
      <c r="K579" s="67"/>
      <c r="L579" s="68"/>
      <c r="M579" s="69"/>
      <c r="N579" s="70"/>
      <c r="O579" s="71"/>
      <c r="P579" s="72"/>
      <c r="Q579" s="73"/>
      <c r="S579" s="64"/>
    </row>
    <row r="580" ht="15.75" customHeight="1">
      <c r="F580" s="64"/>
      <c r="I580" s="65"/>
      <c r="J580" s="66"/>
      <c r="K580" s="67"/>
      <c r="L580" s="68"/>
      <c r="M580" s="69"/>
      <c r="N580" s="70"/>
      <c r="O580" s="71"/>
      <c r="P580" s="72"/>
      <c r="Q580" s="73"/>
      <c r="S580" s="64"/>
    </row>
    <row r="581" ht="15.75" customHeight="1">
      <c r="F581" s="64"/>
      <c r="I581" s="65"/>
      <c r="J581" s="66"/>
      <c r="K581" s="67"/>
      <c r="L581" s="68"/>
      <c r="M581" s="69"/>
      <c r="N581" s="70"/>
      <c r="O581" s="71"/>
      <c r="P581" s="72"/>
      <c r="Q581" s="73"/>
      <c r="S581" s="64"/>
    </row>
    <row r="582" ht="15.75" customHeight="1">
      <c r="F582" s="64"/>
      <c r="I582" s="65"/>
      <c r="J582" s="66"/>
      <c r="K582" s="67"/>
      <c r="L582" s="68"/>
      <c r="M582" s="69"/>
      <c r="N582" s="70"/>
      <c r="O582" s="71"/>
      <c r="P582" s="72"/>
      <c r="Q582" s="73"/>
      <c r="S582" s="64"/>
    </row>
    <row r="583" ht="15.75" customHeight="1">
      <c r="F583" s="64"/>
      <c r="I583" s="65"/>
      <c r="J583" s="66"/>
      <c r="K583" s="67"/>
      <c r="L583" s="68"/>
      <c r="M583" s="69"/>
      <c r="N583" s="70"/>
      <c r="O583" s="71"/>
      <c r="P583" s="72"/>
      <c r="Q583" s="73"/>
      <c r="S583" s="64"/>
    </row>
    <row r="584" ht="15.75" customHeight="1">
      <c r="F584" s="64"/>
      <c r="I584" s="65"/>
      <c r="J584" s="66"/>
      <c r="K584" s="67"/>
      <c r="L584" s="68"/>
      <c r="M584" s="69"/>
      <c r="N584" s="70"/>
      <c r="O584" s="71"/>
      <c r="P584" s="72"/>
      <c r="Q584" s="73"/>
      <c r="S584" s="64"/>
    </row>
    <row r="585" ht="15.75" customHeight="1">
      <c r="F585" s="64"/>
      <c r="I585" s="65"/>
      <c r="J585" s="66"/>
      <c r="K585" s="67"/>
      <c r="L585" s="68"/>
      <c r="M585" s="69"/>
      <c r="N585" s="70"/>
      <c r="O585" s="71"/>
      <c r="P585" s="72"/>
      <c r="Q585" s="73"/>
      <c r="S585" s="64"/>
    </row>
    <row r="586" ht="15.75" customHeight="1">
      <c r="F586" s="64"/>
      <c r="I586" s="65"/>
      <c r="J586" s="66"/>
      <c r="K586" s="67"/>
      <c r="L586" s="68"/>
      <c r="M586" s="69"/>
      <c r="N586" s="70"/>
      <c r="O586" s="71"/>
      <c r="P586" s="72"/>
      <c r="Q586" s="73"/>
      <c r="S586" s="64"/>
    </row>
    <row r="587" ht="15.75" customHeight="1">
      <c r="F587" s="64"/>
      <c r="I587" s="65"/>
      <c r="J587" s="66"/>
      <c r="K587" s="67"/>
      <c r="L587" s="68"/>
      <c r="M587" s="69"/>
      <c r="N587" s="70"/>
      <c r="O587" s="71"/>
      <c r="P587" s="72"/>
      <c r="Q587" s="73"/>
      <c r="S587" s="64"/>
    </row>
    <row r="588" ht="15.75" customHeight="1">
      <c r="F588" s="64"/>
      <c r="I588" s="65"/>
      <c r="J588" s="66"/>
      <c r="K588" s="67"/>
      <c r="L588" s="68"/>
      <c r="M588" s="69"/>
      <c r="N588" s="70"/>
      <c r="O588" s="71"/>
      <c r="P588" s="72"/>
      <c r="Q588" s="73"/>
      <c r="S588" s="64"/>
    </row>
    <row r="589" ht="15.75" customHeight="1">
      <c r="F589" s="64"/>
      <c r="I589" s="65"/>
      <c r="J589" s="66"/>
      <c r="K589" s="67"/>
      <c r="L589" s="68"/>
      <c r="M589" s="69"/>
      <c r="N589" s="70"/>
      <c r="O589" s="71"/>
      <c r="P589" s="72"/>
      <c r="Q589" s="73"/>
      <c r="S589" s="64"/>
    </row>
    <row r="590" ht="15.75" customHeight="1">
      <c r="F590" s="64"/>
      <c r="I590" s="65"/>
      <c r="J590" s="66"/>
      <c r="K590" s="67"/>
      <c r="L590" s="68"/>
      <c r="M590" s="69"/>
      <c r="N590" s="70"/>
      <c r="O590" s="71"/>
      <c r="P590" s="72"/>
      <c r="Q590" s="73"/>
      <c r="S590" s="64"/>
    </row>
    <row r="591" ht="15.75" customHeight="1">
      <c r="F591" s="64"/>
      <c r="I591" s="65"/>
      <c r="J591" s="66"/>
      <c r="K591" s="67"/>
      <c r="L591" s="68"/>
      <c r="M591" s="69"/>
      <c r="N591" s="70"/>
      <c r="O591" s="71"/>
      <c r="P591" s="72"/>
      <c r="Q591" s="73"/>
      <c r="S591" s="64"/>
    </row>
    <row r="592" ht="15.75" customHeight="1">
      <c r="F592" s="64"/>
      <c r="I592" s="65"/>
      <c r="J592" s="66"/>
      <c r="K592" s="67"/>
      <c r="L592" s="68"/>
      <c r="M592" s="69"/>
      <c r="N592" s="70"/>
      <c r="O592" s="71"/>
      <c r="P592" s="72"/>
      <c r="Q592" s="73"/>
      <c r="S592" s="64"/>
    </row>
    <row r="593" ht="15.75" customHeight="1">
      <c r="F593" s="64"/>
      <c r="I593" s="65"/>
      <c r="J593" s="66"/>
      <c r="K593" s="67"/>
      <c r="L593" s="68"/>
      <c r="M593" s="69"/>
      <c r="N593" s="70"/>
      <c r="O593" s="71"/>
      <c r="P593" s="72"/>
      <c r="Q593" s="73"/>
      <c r="S593" s="64"/>
    </row>
    <row r="594" ht="15.75" customHeight="1">
      <c r="F594" s="64"/>
      <c r="I594" s="65"/>
      <c r="J594" s="66"/>
      <c r="K594" s="67"/>
      <c r="L594" s="68"/>
      <c r="M594" s="69"/>
      <c r="N594" s="70"/>
      <c r="O594" s="71"/>
      <c r="P594" s="72"/>
      <c r="Q594" s="73"/>
      <c r="S594" s="64"/>
    </row>
    <row r="595" ht="15.75" customHeight="1">
      <c r="F595" s="64"/>
      <c r="I595" s="65"/>
      <c r="J595" s="66"/>
      <c r="K595" s="67"/>
      <c r="L595" s="68"/>
      <c r="M595" s="69"/>
      <c r="N595" s="70"/>
      <c r="O595" s="71"/>
      <c r="P595" s="72"/>
      <c r="Q595" s="73"/>
      <c r="S595" s="64"/>
    </row>
    <row r="596" ht="15.75" customHeight="1">
      <c r="F596" s="64"/>
      <c r="I596" s="65"/>
      <c r="J596" s="66"/>
      <c r="K596" s="67"/>
      <c r="L596" s="68"/>
      <c r="M596" s="69"/>
      <c r="N596" s="70"/>
      <c r="O596" s="71"/>
      <c r="P596" s="72"/>
      <c r="Q596" s="73"/>
      <c r="S596" s="64"/>
    </row>
    <row r="597" ht="15.75" customHeight="1">
      <c r="F597" s="64"/>
      <c r="I597" s="65"/>
      <c r="J597" s="66"/>
      <c r="K597" s="67"/>
      <c r="L597" s="68"/>
      <c r="M597" s="69"/>
      <c r="N597" s="70"/>
      <c r="O597" s="71"/>
      <c r="P597" s="72"/>
      <c r="Q597" s="73"/>
      <c r="S597" s="64"/>
    </row>
    <row r="598" ht="15.75" customHeight="1">
      <c r="F598" s="64"/>
      <c r="I598" s="65"/>
      <c r="J598" s="66"/>
      <c r="K598" s="67"/>
      <c r="L598" s="68"/>
      <c r="M598" s="69"/>
      <c r="N598" s="70"/>
      <c r="O598" s="71"/>
      <c r="P598" s="72"/>
      <c r="Q598" s="73"/>
      <c r="S598" s="64"/>
    </row>
    <row r="599" ht="15.75" customHeight="1">
      <c r="F599" s="64"/>
      <c r="I599" s="65"/>
      <c r="J599" s="66"/>
      <c r="K599" s="67"/>
      <c r="L599" s="68"/>
      <c r="M599" s="69"/>
      <c r="N599" s="70"/>
      <c r="O599" s="71"/>
      <c r="P599" s="72"/>
      <c r="Q599" s="73"/>
      <c r="S599" s="64"/>
    </row>
    <row r="600" ht="15.75" customHeight="1">
      <c r="F600" s="64"/>
      <c r="I600" s="65"/>
      <c r="J600" s="66"/>
      <c r="K600" s="67"/>
      <c r="L600" s="68"/>
      <c r="M600" s="69"/>
      <c r="N600" s="70"/>
      <c r="O600" s="71"/>
      <c r="P600" s="72"/>
      <c r="Q600" s="73"/>
      <c r="S600" s="64"/>
    </row>
    <row r="601" ht="15.75" customHeight="1">
      <c r="F601" s="64"/>
      <c r="I601" s="65"/>
      <c r="J601" s="66"/>
      <c r="K601" s="67"/>
      <c r="L601" s="68"/>
      <c r="M601" s="69"/>
      <c r="N601" s="70"/>
      <c r="O601" s="71"/>
      <c r="P601" s="72"/>
      <c r="Q601" s="73"/>
      <c r="S601" s="64"/>
    </row>
    <row r="602" ht="15.75" customHeight="1">
      <c r="F602" s="64"/>
      <c r="I602" s="65"/>
      <c r="J602" s="66"/>
      <c r="K602" s="67"/>
      <c r="L602" s="68"/>
      <c r="M602" s="69"/>
      <c r="N602" s="70"/>
      <c r="O602" s="71"/>
      <c r="P602" s="72"/>
      <c r="Q602" s="73"/>
      <c r="S602" s="64"/>
    </row>
    <row r="603" ht="15.75" customHeight="1">
      <c r="F603" s="64"/>
      <c r="I603" s="65"/>
      <c r="J603" s="66"/>
      <c r="K603" s="67"/>
      <c r="L603" s="68"/>
      <c r="M603" s="69"/>
      <c r="N603" s="70"/>
      <c r="O603" s="71"/>
      <c r="P603" s="72"/>
      <c r="Q603" s="73"/>
      <c r="S603" s="64"/>
    </row>
    <row r="604" ht="15.75" customHeight="1">
      <c r="F604" s="64"/>
      <c r="I604" s="65"/>
      <c r="J604" s="66"/>
      <c r="K604" s="67"/>
      <c r="L604" s="68"/>
      <c r="M604" s="69"/>
      <c r="N604" s="70"/>
      <c r="O604" s="71"/>
      <c r="P604" s="72"/>
      <c r="Q604" s="73"/>
      <c r="S604" s="64"/>
    </row>
    <row r="605" ht="15.75" customHeight="1">
      <c r="F605" s="64"/>
      <c r="I605" s="65"/>
      <c r="J605" s="66"/>
      <c r="K605" s="67"/>
      <c r="L605" s="68"/>
      <c r="M605" s="69"/>
      <c r="N605" s="70"/>
      <c r="O605" s="71"/>
      <c r="P605" s="72"/>
      <c r="Q605" s="73"/>
      <c r="S605" s="64"/>
    </row>
    <row r="606" ht="15.75" customHeight="1">
      <c r="F606" s="64"/>
      <c r="I606" s="65"/>
      <c r="J606" s="66"/>
      <c r="K606" s="67"/>
      <c r="L606" s="68"/>
      <c r="M606" s="69"/>
      <c r="N606" s="70"/>
      <c r="O606" s="71"/>
      <c r="P606" s="72"/>
      <c r="Q606" s="73"/>
      <c r="S606" s="64"/>
    </row>
    <row r="607" ht="15.75" customHeight="1">
      <c r="F607" s="64"/>
      <c r="I607" s="65"/>
      <c r="J607" s="66"/>
      <c r="K607" s="67"/>
      <c r="L607" s="68"/>
      <c r="M607" s="69"/>
      <c r="N607" s="70"/>
      <c r="O607" s="71"/>
      <c r="P607" s="72"/>
      <c r="Q607" s="73"/>
      <c r="S607" s="64"/>
    </row>
    <row r="608" ht="15.75" customHeight="1">
      <c r="F608" s="64"/>
      <c r="I608" s="65"/>
      <c r="J608" s="66"/>
      <c r="K608" s="67"/>
      <c r="L608" s="68"/>
      <c r="M608" s="69"/>
      <c r="N608" s="70"/>
      <c r="O608" s="71"/>
      <c r="P608" s="72"/>
      <c r="Q608" s="73"/>
      <c r="S608" s="64"/>
    </row>
    <row r="609" ht="15.75" customHeight="1">
      <c r="F609" s="64"/>
      <c r="I609" s="65"/>
      <c r="J609" s="66"/>
      <c r="K609" s="67"/>
      <c r="L609" s="68"/>
      <c r="M609" s="69"/>
      <c r="N609" s="70"/>
      <c r="O609" s="71"/>
      <c r="P609" s="72"/>
      <c r="Q609" s="73"/>
      <c r="S609" s="64"/>
    </row>
    <row r="610" ht="15.75" customHeight="1">
      <c r="F610" s="64"/>
      <c r="I610" s="65"/>
      <c r="J610" s="66"/>
      <c r="K610" s="67"/>
      <c r="L610" s="68"/>
      <c r="M610" s="69"/>
      <c r="N610" s="70"/>
      <c r="O610" s="71"/>
      <c r="P610" s="72"/>
      <c r="Q610" s="73"/>
      <c r="S610" s="64"/>
    </row>
    <row r="611" ht="15.75" customHeight="1">
      <c r="F611" s="64"/>
      <c r="I611" s="65"/>
      <c r="J611" s="66"/>
      <c r="K611" s="67"/>
      <c r="L611" s="68"/>
      <c r="M611" s="69"/>
      <c r="N611" s="70"/>
      <c r="O611" s="71"/>
      <c r="P611" s="72"/>
      <c r="Q611" s="73"/>
      <c r="S611" s="64"/>
    </row>
    <row r="612" ht="15.75" customHeight="1">
      <c r="F612" s="64"/>
      <c r="I612" s="65"/>
      <c r="J612" s="66"/>
      <c r="K612" s="67"/>
      <c r="L612" s="68"/>
      <c r="M612" s="69"/>
      <c r="N612" s="70"/>
      <c r="O612" s="71"/>
      <c r="P612" s="72"/>
      <c r="Q612" s="73"/>
      <c r="S612" s="64"/>
    </row>
    <row r="613" ht="15.75" customHeight="1">
      <c r="F613" s="64"/>
      <c r="I613" s="65"/>
      <c r="J613" s="66"/>
      <c r="K613" s="67"/>
      <c r="L613" s="68"/>
      <c r="M613" s="69"/>
      <c r="N613" s="70"/>
      <c r="O613" s="71"/>
      <c r="P613" s="72"/>
      <c r="Q613" s="73"/>
      <c r="S613" s="64"/>
    </row>
    <row r="614" ht="15.75" customHeight="1">
      <c r="F614" s="64"/>
      <c r="I614" s="65"/>
      <c r="J614" s="66"/>
      <c r="K614" s="67"/>
      <c r="L614" s="68"/>
      <c r="M614" s="69"/>
      <c r="N614" s="70"/>
      <c r="O614" s="71"/>
      <c r="P614" s="72"/>
      <c r="Q614" s="73"/>
      <c r="S614" s="64"/>
    </row>
    <row r="615" ht="15.75" customHeight="1">
      <c r="F615" s="64"/>
      <c r="I615" s="65"/>
      <c r="J615" s="66"/>
      <c r="K615" s="67"/>
      <c r="L615" s="68"/>
      <c r="M615" s="69"/>
      <c r="N615" s="70"/>
      <c r="O615" s="71"/>
      <c r="P615" s="72"/>
      <c r="Q615" s="73"/>
      <c r="S615" s="64"/>
    </row>
    <row r="616" ht="15.75" customHeight="1">
      <c r="F616" s="64"/>
      <c r="I616" s="65"/>
      <c r="J616" s="66"/>
      <c r="K616" s="67"/>
      <c r="L616" s="68"/>
      <c r="M616" s="69"/>
      <c r="N616" s="70"/>
      <c r="O616" s="71"/>
      <c r="P616" s="72"/>
      <c r="Q616" s="73"/>
      <c r="S616" s="64"/>
    </row>
    <row r="617" ht="15.75" customHeight="1">
      <c r="F617" s="64"/>
      <c r="I617" s="65"/>
      <c r="J617" s="66"/>
      <c r="K617" s="67"/>
      <c r="L617" s="68"/>
      <c r="M617" s="69"/>
      <c r="N617" s="70"/>
      <c r="O617" s="71"/>
      <c r="P617" s="72"/>
      <c r="Q617" s="73"/>
      <c r="S617" s="64"/>
    </row>
    <row r="618" ht="15.75" customHeight="1">
      <c r="F618" s="64"/>
      <c r="I618" s="65"/>
      <c r="J618" s="66"/>
      <c r="K618" s="67"/>
      <c r="L618" s="68"/>
      <c r="M618" s="69"/>
      <c r="N618" s="70"/>
      <c r="O618" s="71"/>
      <c r="P618" s="72"/>
      <c r="Q618" s="73"/>
      <c r="S618" s="64"/>
    </row>
    <row r="619" ht="15.75" customHeight="1">
      <c r="F619" s="64"/>
      <c r="I619" s="65"/>
      <c r="J619" s="66"/>
      <c r="K619" s="67"/>
      <c r="L619" s="68"/>
      <c r="M619" s="69"/>
      <c r="N619" s="70"/>
      <c r="O619" s="71"/>
      <c r="P619" s="72"/>
      <c r="Q619" s="73"/>
      <c r="S619" s="64"/>
    </row>
    <row r="620" ht="15.75" customHeight="1">
      <c r="F620" s="64"/>
      <c r="I620" s="65"/>
      <c r="J620" s="66"/>
      <c r="K620" s="67"/>
      <c r="L620" s="68"/>
      <c r="M620" s="69"/>
      <c r="N620" s="70"/>
      <c r="O620" s="71"/>
      <c r="P620" s="72"/>
      <c r="Q620" s="73"/>
      <c r="S620" s="64"/>
    </row>
    <row r="621" ht="15.75" customHeight="1">
      <c r="F621" s="64"/>
      <c r="I621" s="65"/>
      <c r="J621" s="66"/>
      <c r="K621" s="67"/>
      <c r="L621" s="68"/>
      <c r="M621" s="69"/>
      <c r="N621" s="70"/>
      <c r="O621" s="71"/>
      <c r="P621" s="72"/>
      <c r="Q621" s="73"/>
      <c r="S621" s="64"/>
    </row>
    <row r="622" ht="15.75" customHeight="1">
      <c r="F622" s="64"/>
      <c r="I622" s="65"/>
      <c r="J622" s="66"/>
      <c r="K622" s="67"/>
      <c r="L622" s="68"/>
      <c r="M622" s="69"/>
      <c r="N622" s="70"/>
      <c r="O622" s="71"/>
      <c r="P622" s="72"/>
      <c r="Q622" s="73"/>
      <c r="S622" s="64"/>
    </row>
    <row r="623" ht="15.75" customHeight="1">
      <c r="F623" s="64"/>
      <c r="I623" s="65"/>
      <c r="J623" s="66"/>
      <c r="K623" s="67"/>
      <c r="L623" s="68"/>
      <c r="M623" s="69"/>
      <c r="N623" s="70"/>
      <c r="O623" s="71"/>
      <c r="P623" s="72"/>
      <c r="Q623" s="73"/>
      <c r="S623" s="64"/>
    </row>
    <row r="624" ht="15.75" customHeight="1">
      <c r="F624" s="64"/>
      <c r="I624" s="65"/>
      <c r="J624" s="66"/>
      <c r="K624" s="67"/>
      <c r="L624" s="68"/>
      <c r="M624" s="69"/>
      <c r="N624" s="70"/>
      <c r="O624" s="71"/>
      <c r="P624" s="72"/>
      <c r="Q624" s="73"/>
      <c r="S624" s="64"/>
    </row>
    <row r="625" ht="15.75" customHeight="1">
      <c r="F625" s="64"/>
      <c r="I625" s="65"/>
      <c r="J625" s="66"/>
      <c r="K625" s="67"/>
      <c r="L625" s="68"/>
      <c r="M625" s="69"/>
      <c r="N625" s="70"/>
      <c r="O625" s="71"/>
      <c r="P625" s="72"/>
      <c r="Q625" s="73"/>
      <c r="S625" s="64"/>
    </row>
    <row r="626" ht="15.75" customHeight="1">
      <c r="F626" s="64"/>
      <c r="I626" s="65"/>
      <c r="J626" s="66"/>
      <c r="K626" s="67"/>
      <c r="L626" s="68"/>
      <c r="M626" s="69"/>
      <c r="N626" s="70"/>
      <c r="O626" s="71"/>
      <c r="P626" s="72"/>
      <c r="Q626" s="73"/>
      <c r="S626" s="64"/>
    </row>
    <row r="627" ht="15.75" customHeight="1">
      <c r="F627" s="64"/>
      <c r="I627" s="65"/>
      <c r="J627" s="66"/>
      <c r="K627" s="67"/>
      <c r="L627" s="68"/>
      <c r="M627" s="69"/>
      <c r="N627" s="70"/>
      <c r="O627" s="71"/>
      <c r="P627" s="72"/>
      <c r="Q627" s="73"/>
      <c r="S627" s="64"/>
    </row>
    <row r="628" ht="15.75" customHeight="1">
      <c r="F628" s="64"/>
      <c r="I628" s="65"/>
      <c r="J628" s="66"/>
      <c r="K628" s="67"/>
      <c r="L628" s="68"/>
      <c r="M628" s="69"/>
      <c r="N628" s="70"/>
      <c r="O628" s="71"/>
      <c r="P628" s="72"/>
      <c r="Q628" s="73"/>
      <c r="S628" s="64"/>
    </row>
    <row r="629" ht="15.75" customHeight="1">
      <c r="F629" s="64"/>
      <c r="I629" s="65"/>
      <c r="J629" s="66"/>
      <c r="K629" s="67"/>
      <c r="L629" s="68"/>
      <c r="M629" s="69"/>
      <c r="N629" s="70"/>
      <c r="O629" s="71"/>
      <c r="P629" s="72"/>
      <c r="Q629" s="73"/>
      <c r="S629" s="64"/>
    </row>
    <row r="630" ht="15.75" customHeight="1">
      <c r="F630" s="64"/>
      <c r="I630" s="65"/>
      <c r="J630" s="66"/>
      <c r="K630" s="67"/>
      <c r="L630" s="68"/>
      <c r="M630" s="69"/>
      <c r="N630" s="70"/>
      <c r="O630" s="71"/>
      <c r="P630" s="72"/>
      <c r="Q630" s="73"/>
      <c r="S630" s="64"/>
    </row>
    <row r="631" ht="15.75" customHeight="1">
      <c r="F631" s="64"/>
      <c r="I631" s="65"/>
      <c r="J631" s="66"/>
      <c r="K631" s="67"/>
      <c r="L631" s="68"/>
      <c r="M631" s="69"/>
      <c r="N631" s="70"/>
      <c r="O631" s="71"/>
      <c r="P631" s="72"/>
      <c r="Q631" s="73"/>
      <c r="S631" s="64"/>
    </row>
    <row r="632" ht="15.75" customHeight="1">
      <c r="F632" s="64"/>
      <c r="I632" s="65"/>
      <c r="J632" s="66"/>
      <c r="K632" s="67"/>
      <c r="L632" s="68"/>
      <c r="M632" s="69"/>
      <c r="N632" s="70"/>
      <c r="O632" s="71"/>
      <c r="P632" s="72"/>
      <c r="Q632" s="73"/>
      <c r="S632" s="64"/>
    </row>
    <row r="633" ht="15.75" customHeight="1">
      <c r="F633" s="64"/>
      <c r="I633" s="65"/>
      <c r="J633" s="66"/>
      <c r="K633" s="67"/>
      <c r="L633" s="68"/>
      <c r="M633" s="69"/>
      <c r="N633" s="70"/>
      <c r="O633" s="71"/>
      <c r="P633" s="72"/>
      <c r="Q633" s="73"/>
      <c r="S633" s="64"/>
    </row>
    <row r="634" ht="15.75" customHeight="1">
      <c r="F634" s="64"/>
      <c r="I634" s="65"/>
      <c r="J634" s="66"/>
      <c r="K634" s="67"/>
      <c r="L634" s="68"/>
      <c r="M634" s="69"/>
      <c r="N634" s="70"/>
      <c r="O634" s="71"/>
      <c r="P634" s="72"/>
      <c r="Q634" s="73"/>
      <c r="S634" s="64"/>
    </row>
    <row r="635" ht="15.75" customHeight="1">
      <c r="F635" s="64"/>
      <c r="I635" s="65"/>
      <c r="J635" s="66"/>
      <c r="K635" s="67"/>
      <c r="L635" s="68"/>
      <c r="M635" s="69"/>
      <c r="N635" s="70"/>
      <c r="O635" s="71"/>
      <c r="P635" s="72"/>
      <c r="Q635" s="73"/>
      <c r="S635" s="64"/>
    </row>
    <row r="636" ht="15.75" customHeight="1">
      <c r="F636" s="64"/>
      <c r="I636" s="65"/>
      <c r="J636" s="66"/>
      <c r="K636" s="67"/>
      <c r="L636" s="68"/>
      <c r="M636" s="69"/>
      <c r="N636" s="70"/>
      <c r="O636" s="71"/>
      <c r="P636" s="72"/>
      <c r="Q636" s="73"/>
      <c r="S636" s="64"/>
    </row>
    <row r="637" ht="15.75" customHeight="1">
      <c r="F637" s="64"/>
      <c r="I637" s="65"/>
      <c r="J637" s="66"/>
      <c r="K637" s="67"/>
      <c r="L637" s="68"/>
      <c r="M637" s="69"/>
      <c r="N637" s="70"/>
      <c r="O637" s="71"/>
      <c r="P637" s="72"/>
      <c r="Q637" s="73"/>
      <c r="S637" s="64"/>
    </row>
    <row r="638" ht="15.75" customHeight="1">
      <c r="F638" s="64"/>
      <c r="I638" s="65"/>
      <c r="J638" s="66"/>
      <c r="K638" s="67"/>
      <c r="L638" s="68"/>
      <c r="M638" s="69"/>
      <c r="N638" s="70"/>
      <c r="O638" s="71"/>
      <c r="P638" s="72"/>
      <c r="Q638" s="73"/>
      <c r="S638" s="64"/>
    </row>
    <row r="639" ht="15.75" customHeight="1">
      <c r="F639" s="64"/>
      <c r="I639" s="65"/>
      <c r="J639" s="66"/>
      <c r="K639" s="67"/>
      <c r="L639" s="68"/>
      <c r="M639" s="69"/>
      <c r="N639" s="70"/>
      <c r="O639" s="71"/>
      <c r="P639" s="72"/>
      <c r="Q639" s="73"/>
      <c r="S639" s="64"/>
    </row>
    <row r="640" ht="15.75" customHeight="1">
      <c r="F640" s="64"/>
      <c r="I640" s="65"/>
      <c r="J640" s="66"/>
      <c r="K640" s="67"/>
      <c r="L640" s="68"/>
      <c r="M640" s="69"/>
      <c r="N640" s="70"/>
      <c r="O640" s="71"/>
      <c r="P640" s="72"/>
      <c r="Q640" s="73"/>
      <c r="S640" s="64"/>
    </row>
    <row r="641" ht="15.75" customHeight="1">
      <c r="F641" s="64"/>
      <c r="I641" s="65"/>
      <c r="J641" s="66"/>
      <c r="K641" s="67"/>
      <c r="L641" s="68"/>
      <c r="M641" s="69"/>
      <c r="N641" s="70"/>
      <c r="O641" s="71"/>
      <c r="P641" s="72"/>
      <c r="Q641" s="73"/>
      <c r="S641" s="64"/>
    </row>
    <row r="642" ht="15.75" customHeight="1">
      <c r="F642" s="64"/>
      <c r="I642" s="65"/>
      <c r="J642" s="66"/>
      <c r="K642" s="67"/>
      <c r="L642" s="68"/>
      <c r="M642" s="69"/>
      <c r="N642" s="70"/>
      <c r="O642" s="71"/>
      <c r="P642" s="72"/>
      <c r="Q642" s="73"/>
      <c r="S642" s="64"/>
    </row>
    <row r="643" ht="15.75" customHeight="1">
      <c r="F643" s="64"/>
      <c r="I643" s="65"/>
      <c r="J643" s="66"/>
      <c r="K643" s="67"/>
      <c r="L643" s="68"/>
      <c r="M643" s="69"/>
      <c r="N643" s="70"/>
      <c r="O643" s="71"/>
      <c r="P643" s="72"/>
      <c r="Q643" s="73"/>
      <c r="S643" s="64"/>
    </row>
    <row r="644" ht="15.75" customHeight="1">
      <c r="F644" s="64"/>
      <c r="I644" s="65"/>
      <c r="J644" s="66"/>
      <c r="K644" s="67"/>
      <c r="L644" s="68"/>
      <c r="M644" s="69"/>
      <c r="N644" s="70"/>
      <c r="O644" s="71"/>
      <c r="P644" s="72"/>
      <c r="Q644" s="73"/>
      <c r="S644" s="64"/>
    </row>
    <row r="645" ht="15.75" customHeight="1">
      <c r="F645" s="64"/>
      <c r="I645" s="65"/>
      <c r="J645" s="66"/>
      <c r="K645" s="67"/>
      <c r="L645" s="68"/>
      <c r="M645" s="69"/>
      <c r="N645" s="70"/>
      <c r="O645" s="71"/>
      <c r="P645" s="72"/>
      <c r="Q645" s="73"/>
      <c r="S645" s="64"/>
    </row>
    <row r="646" ht="15.75" customHeight="1">
      <c r="F646" s="64"/>
      <c r="I646" s="65"/>
      <c r="J646" s="66"/>
      <c r="K646" s="67"/>
      <c r="L646" s="68"/>
      <c r="M646" s="69"/>
      <c r="N646" s="70"/>
      <c r="O646" s="71"/>
      <c r="P646" s="72"/>
      <c r="Q646" s="73"/>
      <c r="S646" s="64"/>
    </row>
    <row r="647" ht="15.75" customHeight="1">
      <c r="F647" s="64"/>
      <c r="I647" s="65"/>
      <c r="J647" s="66"/>
      <c r="K647" s="67"/>
      <c r="L647" s="68"/>
      <c r="M647" s="69"/>
      <c r="N647" s="70"/>
      <c r="O647" s="71"/>
      <c r="P647" s="72"/>
      <c r="Q647" s="73"/>
      <c r="S647" s="64"/>
    </row>
    <row r="648" ht="15.75" customHeight="1">
      <c r="F648" s="64"/>
      <c r="I648" s="65"/>
      <c r="J648" s="66"/>
      <c r="K648" s="67"/>
      <c r="L648" s="68"/>
      <c r="M648" s="69"/>
      <c r="N648" s="70"/>
      <c r="O648" s="71"/>
      <c r="P648" s="72"/>
      <c r="Q648" s="73"/>
      <c r="S648" s="64"/>
    </row>
    <row r="649" ht="15.75" customHeight="1">
      <c r="F649" s="64"/>
      <c r="I649" s="65"/>
      <c r="J649" s="66"/>
      <c r="K649" s="67"/>
      <c r="L649" s="68"/>
      <c r="M649" s="69"/>
      <c r="N649" s="70"/>
      <c r="O649" s="71"/>
      <c r="P649" s="72"/>
      <c r="Q649" s="73"/>
      <c r="S649" s="64"/>
    </row>
    <row r="650" ht="15.75" customHeight="1">
      <c r="F650" s="64"/>
      <c r="I650" s="65"/>
      <c r="J650" s="66"/>
      <c r="K650" s="67"/>
      <c r="L650" s="68"/>
      <c r="M650" s="69"/>
      <c r="N650" s="70"/>
      <c r="O650" s="71"/>
      <c r="P650" s="72"/>
      <c r="Q650" s="73"/>
      <c r="S650" s="64"/>
    </row>
    <row r="651" ht="15.75" customHeight="1">
      <c r="F651" s="64"/>
      <c r="I651" s="65"/>
      <c r="J651" s="66"/>
      <c r="K651" s="67"/>
      <c r="L651" s="68"/>
      <c r="M651" s="69"/>
      <c r="N651" s="70"/>
      <c r="O651" s="71"/>
      <c r="P651" s="72"/>
      <c r="Q651" s="73"/>
      <c r="S651" s="64"/>
    </row>
    <row r="652" ht="15.75" customHeight="1">
      <c r="F652" s="64"/>
      <c r="I652" s="65"/>
      <c r="J652" s="66"/>
      <c r="K652" s="67"/>
      <c r="L652" s="68"/>
      <c r="M652" s="69"/>
      <c r="N652" s="70"/>
      <c r="O652" s="71"/>
      <c r="P652" s="72"/>
      <c r="Q652" s="73"/>
      <c r="S652" s="64"/>
    </row>
    <row r="653" ht="15.75" customHeight="1">
      <c r="F653" s="64"/>
      <c r="I653" s="65"/>
      <c r="J653" s="66"/>
      <c r="K653" s="67"/>
      <c r="L653" s="68"/>
      <c r="M653" s="69"/>
      <c r="N653" s="70"/>
      <c r="O653" s="71"/>
      <c r="P653" s="72"/>
      <c r="Q653" s="73"/>
      <c r="S653" s="64"/>
    </row>
    <row r="654" ht="15.75" customHeight="1">
      <c r="F654" s="64"/>
      <c r="I654" s="65"/>
      <c r="J654" s="66"/>
      <c r="K654" s="67"/>
      <c r="L654" s="68"/>
      <c r="M654" s="69"/>
      <c r="N654" s="70"/>
      <c r="O654" s="71"/>
      <c r="P654" s="72"/>
      <c r="Q654" s="73"/>
      <c r="S654" s="64"/>
    </row>
    <row r="655" ht="15.75" customHeight="1">
      <c r="F655" s="64"/>
      <c r="I655" s="65"/>
      <c r="J655" s="66"/>
      <c r="K655" s="67"/>
      <c r="L655" s="68"/>
      <c r="M655" s="69"/>
      <c r="N655" s="70"/>
      <c r="O655" s="71"/>
      <c r="P655" s="72"/>
      <c r="Q655" s="73"/>
      <c r="S655" s="64"/>
    </row>
    <row r="656" ht="15.75" customHeight="1">
      <c r="F656" s="64"/>
      <c r="I656" s="65"/>
      <c r="J656" s="66"/>
      <c r="K656" s="67"/>
      <c r="L656" s="68"/>
      <c r="M656" s="69"/>
      <c r="N656" s="70"/>
      <c r="O656" s="71"/>
      <c r="P656" s="72"/>
      <c r="Q656" s="73"/>
      <c r="S656" s="64"/>
    </row>
    <row r="657" ht="15.75" customHeight="1">
      <c r="F657" s="64"/>
      <c r="I657" s="65"/>
      <c r="J657" s="66"/>
      <c r="K657" s="67"/>
      <c r="L657" s="68"/>
      <c r="M657" s="69"/>
      <c r="N657" s="70"/>
      <c r="O657" s="71"/>
      <c r="P657" s="72"/>
      <c r="Q657" s="73"/>
      <c r="S657" s="64"/>
    </row>
    <row r="658" ht="15.75" customHeight="1">
      <c r="F658" s="64"/>
      <c r="I658" s="65"/>
      <c r="J658" s="66"/>
      <c r="K658" s="67"/>
      <c r="L658" s="68"/>
      <c r="M658" s="69"/>
      <c r="N658" s="70"/>
      <c r="O658" s="71"/>
      <c r="P658" s="72"/>
      <c r="Q658" s="73"/>
      <c r="S658" s="64"/>
    </row>
    <row r="659" ht="15.75" customHeight="1">
      <c r="F659" s="64"/>
      <c r="I659" s="65"/>
      <c r="J659" s="66"/>
      <c r="K659" s="67"/>
      <c r="L659" s="68"/>
      <c r="M659" s="69"/>
      <c r="N659" s="70"/>
      <c r="O659" s="71"/>
      <c r="P659" s="72"/>
      <c r="Q659" s="73"/>
      <c r="S659" s="64"/>
    </row>
    <row r="660" ht="15.75" customHeight="1">
      <c r="F660" s="64"/>
      <c r="I660" s="65"/>
      <c r="J660" s="66"/>
      <c r="K660" s="67"/>
      <c r="L660" s="68"/>
      <c r="M660" s="69"/>
      <c r="N660" s="70"/>
      <c r="O660" s="71"/>
      <c r="P660" s="72"/>
      <c r="Q660" s="73"/>
      <c r="S660" s="64"/>
    </row>
    <row r="661" ht="15.75" customHeight="1">
      <c r="F661" s="64"/>
      <c r="I661" s="65"/>
      <c r="J661" s="66"/>
      <c r="K661" s="67"/>
      <c r="L661" s="68"/>
      <c r="M661" s="69"/>
      <c r="N661" s="70"/>
      <c r="O661" s="71"/>
      <c r="P661" s="72"/>
      <c r="Q661" s="73"/>
      <c r="S661" s="64"/>
    </row>
    <row r="662" ht="15.75" customHeight="1">
      <c r="F662" s="64"/>
      <c r="I662" s="65"/>
      <c r="J662" s="66"/>
      <c r="K662" s="67"/>
      <c r="L662" s="68"/>
      <c r="M662" s="69"/>
      <c r="N662" s="70"/>
      <c r="O662" s="71"/>
      <c r="P662" s="72"/>
      <c r="Q662" s="73"/>
      <c r="S662" s="64"/>
    </row>
    <row r="663" ht="15.75" customHeight="1">
      <c r="F663" s="64"/>
      <c r="I663" s="65"/>
      <c r="J663" s="66"/>
      <c r="K663" s="67"/>
      <c r="L663" s="68"/>
      <c r="M663" s="69"/>
      <c r="N663" s="70"/>
      <c r="O663" s="71"/>
      <c r="P663" s="72"/>
      <c r="Q663" s="73"/>
      <c r="S663" s="64"/>
    </row>
    <row r="664" ht="15.75" customHeight="1">
      <c r="F664" s="64"/>
      <c r="I664" s="65"/>
      <c r="J664" s="66"/>
      <c r="K664" s="67"/>
      <c r="L664" s="68"/>
      <c r="M664" s="69"/>
      <c r="N664" s="70"/>
      <c r="O664" s="71"/>
      <c r="P664" s="72"/>
      <c r="Q664" s="73"/>
      <c r="S664" s="64"/>
    </row>
    <row r="665" ht="15.75" customHeight="1">
      <c r="F665" s="64"/>
      <c r="I665" s="65"/>
      <c r="J665" s="66"/>
      <c r="K665" s="67"/>
      <c r="L665" s="68"/>
      <c r="M665" s="69"/>
      <c r="N665" s="70"/>
      <c r="O665" s="71"/>
      <c r="P665" s="72"/>
      <c r="Q665" s="73"/>
      <c r="S665" s="64"/>
    </row>
    <row r="666" ht="15.75" customHeight="1">
      <c r="F666" s="64"/>
      <c r="I666" s="65"/>
      <c r="J666" s="66"/>
      <c r="K666" s="67"/>
      <c r="L666" s="68"/>
      <c r="M666" s="69"/>
      <c r="N666" s="70"/>
      <c r="O666" s="71"/>
      <c r="P666" s="72"/>
      <c r="Q666" s="73"/>
      <c r="S666" s="64"/>
    </row>
    <row r="667" ht="15.75" customHeight="1">
      <c r="F667" s="64"/>
      <c r="I667" s="65"/>
      <c r="J667" s="66"/>
      <c r="K667" s="67"/>
      <c r="L667" s="68"/>
      <c r="M667" s="69"/>
      <c r="N667" s="70"/>
      <c r="O667" s="71"/>
      <c r="P667" s="72"/>
      <c r="Q667" s="73"/>
      <c r="S667" s="64"/>
    </row>
    <row r="668" ht="15.75" customHeight="1">
      <c r="F668" s="64"/>
      <c r="I668" s="65"/>
      <c r="J668" s="66"/>
      <c r="K668" s="67"/>
      <c r="L668" s="68"/>
      <c r="M668" s="69"/>
      <c r="N668" s="70"/>
      <c r="O668" s="71"/>
      <c r="P668" s="72"/>
      <c r="Q668" s="73"/>
      <c r="S668" s="64"/>
    </row>
    <row r="669" ht="15.75" customHeight="1">
      <c r="F669" s="64"/>
      <c r="I669" s="65"/>
      <c r="J669" s="66"/>
      <c r="K669" s="67"/>
      <c r="L669" s="68"/>
      <c r="M669" s="69"/>
      <c r="N669" s="70"/>
      <c r="O669" s="71"/>
      <c r="P669" s="72"/>
      <c r="Q669" s="73"/>
      <c r="S669" s="64"/>
    </row>
    <row r="670" ht="15.75" customHeight="1">
      <c r="F670" s="64"/>
      <c r="I670" s="65"/>
      <c r="J670" s="66"/>
      <c r="K670" s="67"/>
      <c r="L670" s="68"/>
      <c r="M670" s="69"/>
      <c r="N670" s="70"/>
      <c r="O670" s="71"/>
      <c r="P670" s="72"/>
      <c r="Q670" s="73"/>
      <c r="S670" s="64"/>
    </row>
    <row r="671" ht="15.75" customHeight="1">
      <c r="F671" s="64"/>
      <c r="I671" s="65"/>
      <c r="J671" s="66"/>
      <c r="K671" s="67"/>
      <c r="L671" s="68"/>
      <c r="M671" s="69"/>
      <c r="N671" s="70"/>
      <c r="O671" s="71"/>
      <c r="P671" s="72"/>
      <c r="Q671" s="73"/>
      <c r="S671" s="64"/>
    </row>
    <row r="672" ht="15.75" customHeight="1">
      <c r="F672" s="64"/>
      <c r="I672" s="65"/>
      <c r="J672" s="66"/>
      <c r="K672" s="67"/>
      <c r="L672" s="68"/>
      <c r="M672" s="69"/>
      <c r="N672" s="70"/>
      <c r="O672" s="71"/>
      <c r="P672" s="72"/>
      <c r="Q672" s="73"/>
      <c r="S672" s="64"/>
    </row>
    <row r="673" ht="15.75" customHeight="1">
      <c r="F673" s="64"/>
      <c r="I673" s="65"/>
      <c r="J673" s="66"/>
      <c r="K673" s="67"/>
      <c r="L673" s="68"/>
      <c r="M673" s="69"/>
      <c r="N673" s="70"/>
      <c r="O673" s="71"/>
      <c r="P673" s="72"/>
      <c r="Q673" s="73"/>
      <c r="S673" s="64"/>
    </row>
    <row r="674" ht="15.75" customHeight="1">
      <c r="F674" s="64"/>
      <c r="I674" s="65"/>
      <c r="J674" s="66"/>
      <c r="K674" s="67"/>
      <c r="L674" s="68"/>
      <c r="M674" s="69"/>
      <c r="N674" s="70"/>
      <c r="O674" s="71"/>
      <c r="P674" s="72"/>
      <c r="Q674" s="73"/>
      <c r="S674" s="64"/>
    </row>
    <row r="675" ht="15.75" customHeight="1">
      <c r="F675" s="64"/>
      <c r="I675" s="65"/>
      <c r="J675" s="66"/>
      <c r="K675" s="67"/>
      <c r="L675" s="68"/>
      <c r="M675" s="69"/>
      <c r="N675" s="70"/>
      <c r="O675" s="71"/>
      <c r="P675" s="72"/>
      <c r="Q675" s="73"/>
      <c r="S675" s="64"/>
    </row>
    <row r="676" ht="15.75" customHeight="1">
      <c r="F676" s="64"/>
      <c r="I676" s="65"/>
      <c r="J676" s="66"/>
      <c r="K676" s="67"/>
      <c r="L676" s="68"/>
      <c r="M676" s="69"/>
      <c r="N676" s="70"/>
      <c r="O676" s="71"/>
      <c r="P676" s="72"/>
      <c r="Q676" s="73"/>
      <c r="S676" s="64"/>
    </row>
    <row r="677" ht="15.75" customHeight="1">
      <c r="F677" s="64"/>
      <c r="I677" s="65"/>
      <c r="J677" s="66"/>
      <c r="K677" s="67"/>
      <c r="L677" s="68"/>
      <c r="M677" s="69"/>
      <c r="N677" s="70"/>
      <c r="O677" s="71"/>
      <c r="P677" s="72"/>
      <c r="Q677" s="73"/>
      <c r="S677" s="64"/>
    </row>
    <row r="678" ht="15.75" customHeight="1">
      <c r="F678" s="64"/>
      <c r="I678" s="65"/>
      <c r="J678" s="66"/>
      <c r="K678" s="67"/>
      <c r="L678" s="68"/>
      <c r="M678" s="69"/>
      <c r="N678" s="70"/>
      <c r="O678" s="71"/>
      <c r="P678" s="72"/>
      <c r="Q678" s="73"/>
      <c r="S678" s="64"/>
    </row>
    <row r="679" ht="15.75" customHeight="1">
      <c r="F679" s="64"/>
      <c r="I679" s="65"/>
      <c r="J679" s="66"/>
      <c r="K679" s="67"/>
      <c r="L679" s="68"/>
      <c r="M679" s="69"/>
      <c r="N679" s="70"/>
      <c r="O679" s="71"/>
      <c r="P679" s="72"/>
      <c r="Q679" s="73"/>
      <c r="S679" s="64"/>
    </row>
    <row r="680" ht="15.75" customHeight="1">
      <c r="F680" s="64"/>
      <c r="I680" s="65"/>
      <c r="J680" s="66"/>
      <c r="K680" s="67"/>
      <c r="L680" s="68"/>
      <c r="M680" s="69"/>
      <c r="N680" s="70"/>
      <c r="O680" s="71"/>
      <c r="P680" s="72"/>
      <c r="Q680" s="73"/>
      <c r="S680" s="64"/>
    </row>
    <row r="681" ht="15.75" customHeight="1">
      <c r="F681" s="64"/>
      <c r="I681" s="65"/>
      <c r="J681" s="66"/>
      <c r="K681" s="67"/>
      <c r="L681" s="68"/>
      <c r="M681" s="69"/>
      <c r="N681" s="70"/>
      <c r="O681" s="71"/>
      <c r="P681" s="72"/>
      <c r="Q681" s="73"/>
      <c r="S681" s="64"/>
    </row>
    <row r="682" ht="15.75" customHeight="1">
      <c r="F682" s="64"/>
      <c r="I682" s="65"/>
      <c r="J682" s="66"/>
      <c r="K682" s="67"/>
      <c r="L682" s="68"/>
      <c r="M682" s="69"/>
      <c r="N682" s="70"/>
      <c r="O682" s="71"/>
      <c r="P682" s="72"/>
      <c r="Q682" s="73"/>
      <c r="S682" s="64"/>
    </row>
    <row r="683" ht="15.75" customHeight="1">
      <c r="F683" s="64"/>
      <c r="I683" s="65"/>
      <c r="J683" s="66"/>
      <c r="K683" s="67"/>
      <c r="L683" s="68"/>
      <c r="M683" s="69"/>
      <c r="N683" s="70"/>
      <c r="O683" s="71"/>
      <c r="P683" s="72"/>
      <c r="Q683" s="73"/>
      <c r="S683" s="64"/>
    </row>
    <row r="684" ht="15.75" customHeight="1">
      <c r="F684" s="64"/>
      <c r="I684" s="65"/>
      <c r="J684" s="66"/>
      <c r="K684" s="67"/>
      <c r="L684" s="68"/>
      <c r="M684" s="69"/>
      <c r="N684" s="70"/>
      <c r="O684" s="71"/>
      <c r="P684" s="72"/>
      <c r="Q684" s="73"/>
      <c r="S684" s="64"/>
    </row>
    <row r="685" ht="15.75" customHeight="1">
      <c r="F685" s="64"/>
      <c r="I685" s="65"/>
      <c r="J685" s="66"/>
      <c r="K685" s="67"/>
      <c r="L685" s="68"/>
      <c r="M685" s="69"/>
      <c r="N685" s="70"/>
      <c r="O685" s="71"/>
      <c r="P685" s="72"/>
      <c r="Q685" s="73"/>
      <c r="S685" s="64"/>
    </row>
    <row r="686" ht="15.75" customHeight="1">
      <c r="F686" s="64"/>
      <c r="I686" s="65"/>
      <c r="J686" s="66"/>
      <c r="K686" s="67"/>
      <c r="L686" s="68"/>
      <c r="M686" s="69"/>
      <c r="N686" s="70"/>
      <c r="O686" s="71"/>
      <c r="P686" s="72"/>
      <c r="Q686" s="73"/>
      <c r="S686" s="64"/>
    </row>
    <row r="687" ht="15.75" customHeight="1">
      <c r="F687" s="64"/>
      <c r="I687" s="65"/>
      <c r="J687" s="66"/>
      <c r="K687" s="67"/>
      <c r="L687" s="68"/>
      <c r="M687" s="69"/>
      <c r="N687" s="70"/>
      <c r="O687" s="71"/>
      <c r="P687" s="72"/>
      <c r="Q687" s="73"/>
      <c r="S687" s="64"/>
    </row>
    <row r="688" ht="15.75" customHeight="1">
      <c r="F688" s="64"/>
      <c r="I688" s="65"/>
      <c r="J688" s="66"/>
      <c r="K688" s="67"/>
      <c r="L688" s="68"/>
      <c r="M688" s="69"/>
      <c r="N688" s="70"/>
      <c r="O688" s="71"/>
      <c r="P688" s="72"/>
      <c r="Q688" s="73"/>
      <c r="S688" s="64"/>
    </row>
    <row r="689" ht="15.75" customHeight="1">
      <c r="F689" s="64"/>
      <c r="I689" s="65"/>
      <c r="J689" s="66"/>
      <c r="K689" s="67"/>
      <c r="L689" s="68"/>
      <c r="M689" s="69"/>
      <c r="N689" s="70"/>
      <c r="O689" s="71"/>
      <c r="P689" s="72"/>
      <c r="Q689" s="73"/>
      <c r="S689" s="64"/>
    </row>
    <row r="690" ht="15.75" customHeight="1">
      <c r="F690" s="64"/>
      <c r="I690" s="65"/>
      <c r="J690" s="66"/>
      <c r="K690" s="67"/>
      <c r="L690" s="68"/>
      <c r="M690" s="69"/>
      <c r="N690" s="70"/>
      <c r="O690" s="71"/>
      <c r="P690" s="72"/>
      <c r="Q690" s="73"/>
      <c r="S690" s="64"/>
    </row>
    <row r="691" ht="15.75" customHeight="1">
      <c r="F691" s="64"/>
      <c r="I691" s="65"/>
      <c r="J691" s="66"/>
      <c r="K691" s="67"/>
      <c r="L691" s="68"/>
      <c r="M691" s="69"/>
      <c r="N691" s="70"/>
      <c r="O691" s="71"/>
      <c r="P691" s="72"/>
      <c r="Q691" s="73"/>
      <c r="S691" s="64"/>
    </row>
    <row r="692" ht="15.75" customHeight="1">
      <c r="F692" s="64"/>
      <c r="I692" s="65"/>
      <c r="J692" s="66"/>
      <c r="K692" s="67"/>
      <c r="L692" s="68"/>
      <c r="M692" s="69"/>
      <c r="N692" s="70"/>
      <c r="O692" s="71"/>
      <c r="P692" s="72"/>
      <c r="Q692" s="73"/>
      <c r="S692" s="64"/>
    </row>
    <row r="693" ht="15.75" customHeight="1">
      <c r="F693" s="64"/>
      <c r="I693" s="65"/>
      <c r="J693" s="66"/>
      <c r="K693" s="67"/>
      <c r="L693" s="68"/>
      <c r="M693" s="69"/>
      <c r="N693" s="70"/>
      <c r="O693" s="71"/>
      <c r="P693" s="72"/>
      <c r="Q693" s="73"/>
      <c r="S693" s="64"/>
    </row>
    <row r="694" ht="15.75" customHeight="1">
      <c r="F694" s="64"/>
      <c r="I694" s="65"/>
      <c r="J694" s="66"/>
      <c r="K694" s="67"/>
      <c r="L694" s="68"/>
      <c r="M694" s="69"/>
      <c r="N694" s="70"/>
      <c r="O694" s="71"/>
      <c r="P694" s="72"/>
      <c r="Q694" s="73"/>
      <c r="S694" s="64"/>
    </row>
    <row r="695" ht="15.75" customHeight="1">
      <c r="F695" s="64"/>
      <c r="I695" s="65"/>
      <c r="J695" s="66"/>
      <c r="K695" s="67"/>
      <c r="L695" s="68"/>
      <c r="M695" s="69"/>
      <c r="N695" s="70"/>
      <c r="O695" s="71"/>
      <c r="P695" s="72"/>
      <c r="Q695" s="73"/>
      <c r="S695" s="64"/>
    </row>
    <row r="696" ht="15.75" customHeight="1">
      <c r="F696" s="64"/>
      <c r="I696" s="65"/>
      <c r="J696" s="66"/>
      <c r="K696" s="67"/>
      <c r="L696" s="68"/>
      <c r="M696" s="69"/>
      <c r="N696" s="70"/>
      <c r="O696" s="71"/>
      <c r="P696" s="72"/>
      <c r="Q696" s="73"/>
      <c r="S696" s="64"/>
    </row>
    <row r="697" ht="15.75" customHeight="1">
      <c r="F697" s="64"/>
      <c r="I697" s="65"/>
      <c r="J697" s="66"/>
      <c r="K697" s="67"/>
      <c r="L697" s="68"/>
      <c r="M697" s="69"/>
      <c r="N697" s="70"/>
      <c r="O697" s="71"/>
      <c r="P697" s="72"/>
      <c r="Q697" s="73"/>
      <c r="S697" s="64"/>
    </row>
    <row r="698" ht="15.75" customHeight="1">
      <c r="F698" s="64"/>
      <c r="I698" s="65"/>
      <c r="J698" s="66"/>
      <c r="K698" s="67"/>
      <c r="L698" s="68"/>
      <c r="M698" s="69"/>
      <c r="N698" s="70"/>
      <c r="O698" s="71"/>
      <c r="P698" s="72"/>
      <c r="Q698" s="73"/>
      <c r="S698" s="64"/>
    </row>
    <row r="699" ht="15.75" customHeight="1">
      <c r="F699" s="64"/>
      <c r="I699" s="65"/>
      <c r="J699" s="66"/>
      <c r="K699" s="67"/>
      <c r="L699" s="68"/>
      <c r="M699" s="69"/>
      <c r="N699" s="70"/>
      <c r="O699" s="71"/>
      <c r="P699" s="72"/>
      <c r="Q699" s="73"/>
      <c r="S699" s="64"/>
    </row>
    <row r="700" ht="15.75" customHeight="1">
      <c r="F700" s="64"/>
      <c r="I700" s="65"/>
      <c r="J700" s="66"/>
      <c r="K700" s="67"/>
      <c r="L700" s="68"/>
      <c r="M700" s="69"/>
      <c r="N700" s="70"/>
      <c r="O700" s="71"/>
      <c r="P700" s="72"/>
      <c r="Q700" s="73"/>
      <c r="S700" s="64"/>
    </row>
    <row r="701" ht="15.75" customHeight="1">
      <c r="F701" s="64"/>
      <c r="I701" s="65"/>
      <c r="J701" s="66"/>
      <c r="K701" s="67"/>
      <c r="L701" s="68"/>
      <c r="M701" s="69"/>
      <c r="N701" s="70"/>
      <c r="O701" s="71"/>
      <c r="P701" s="72"/>
      <c r="Q701" s="73"/>
      <c r="S701" s="64"/>
    </row>
    <row r="702" ht="15.75" customHeight="1">
      <c r="F702" s="64"/>
      <c r="I702" s="65"/>
      <c r="J702" s="66"/>
      <c r="K702" s="67"/>
      <c r="L702" s="68"/>
      <c r="M702" s="69"/>
      <c r="N702" s="70"/>
      <c r="O702" s="71"/>
      <c r="P702" s="72"/>
      <c r="Q702" s="73"/>
      <c r="S702" s="64"/>
    </row>
    <row r="703" ht="15.75" customHeight="1">
      <c r="F703" s="64"/>
      <c r="I703" s="65"/>
      <c r="J703" s="66"/>
      <c r="K703" s="67"/>
      <c r="L703" s="68"/>
      <c r="M703" s="69"/>
      <c r="N703" s="70"/>
      <c r="O703" s="71"/>
      <c r="P703" s="72"/>
      <c r="Q703" s="73"/>
      <c r="S703" s="64"/>
    </row>
    <row r="704" ht="15.75" customHeight="1">
      <c r="F704" s="64"/>
      <c r="I704" s="65"/>
      <c r="J704" s="66"/>
      <c r="K704" s="67"/>
      <c r="L704" s="68"/>
      <c r="M704" s="69"/>
      <c r="N704" s="70"/>
      <c r="O704" s="71"/>
      <c r="P704" s="72"/>
      <c r="Q704" s="73"/>
      <c r="S704" s="64"/>
    </row>
    <row r="705" ht="15.75" customHeight="1">
      <c r="F705" s="64"/>
      <c r="I705" s="65"/>
      <c r="J705" s="66"/>
      <c r="K705" s="67"/>
      <c r="L705" s="68"/>
      <c r="M705" s="69"/>
      <c r="N705" s="70"/>
      <c r="O705" s="71"/>
      <c r="P705" s="72"/>
      <c r="Q705" s="73"/>
      <c r="S705" s="64"/>
    </row>
    <row r="706" ht="15.75" customHeight="1">
      <c r="F706" s="64"/>
      <c r="I706" s="65"/>
      <c r="J706" s="66"/>
      <c r="K706" s="67"/>
      <c r="L706" s="68"/>
      <c r="M706" s="69"/>
      <c r="N706" s="70"/>
      <c r="O706" s="71"/>
      <c r="P706" s="72"/>
      <c r="Q706" s="73"/>
      <c r="S706" s="64"/>
    </row>
    <row r="707" ht="15.75" customHeight="1">
      <c r="F707" s="64"/>
      <c r="I707" s="65"/>
      <c r="J707" s="66"/>
      <c r="K707" s="67"/>
      <c r="L707" s="68"/>
      <c r="M707" s="69"/>
      <c r="N707" s="70"/>
      <c r="O707" s="71"/>
      <c r="P707" s="72"/>
      <c r="Q707" s="73"/>
      <c r="S707" s="64"/>
    </row>
    <row r="708" ht="15.75" customHeight="1">
      <c r="F708" s="64"/>
      <c r="I708" s="65"/>
      <c r="J708" s="66"/>
      <c r="K708" s="67"/>
      <c r="L708" s="68"/>
      <c r="M708" s="69"/>
      <c r="N708" s="70"/>
      <c r="O708" s="71"/>
      <c r="P708" s="72"/>
      <c r="Q708" s="73"/>
      <c r="S708" s="64"/>
    </row>
    <row r="709" ht="15.75" customHeight="1">
      <c r="F709" s="64"/>
      <c r="I709" s="65"/>
      <c r="J709" s="66"/>
      <c r="K709" s="67"/>
      <c r="L709" s="68"/>
      <c r="M709" s="69"/>
      <c r="N709" s="70"/>
      <c r="O709" s="71"/>
      <c r="P709" s="72"/>
      <c r="Q709" s="73"/>
      <c r="S709" s="64"/>
    </row>
    <row r="710" ht="15.75" customHeight="1">
      <c r="F710" s="64"/>
      <c r="I710" s="65"/>
      <c r="J710" s="66"/>
      <c r="K710" s="67"/>
      <c r="L710" s="68"/>
      <c r="M710" s="69"/>
      <c r="N710" s="70"/>
      <c r="O710" s="71"/>
      <c r="P710" s="72"/>
      <c r="Q710" s="73"/>
      <c r="S710" s="64"/>
    </row>
    <row r="711" ht="15.75" customHeight="1">
      <c r="F711" s="64"/>
      <c r="I711" s="65"/>
      <c r="J711" s="66"/>
      <c r="K711" s="67"/>
      <c r="L711" s="68"/>
      <c r="M711" s="69"/>
      <c r="N711" s="70"/>
      <c r="O711" s="71"/>
      <c r="P711" s="72"/>
      <c r="Q711" s="73"/>
      <c r="S711" s="64"/>
    </row>
    <row r="712" ht="15.75" customHeight="1">
      <c r="F712" s="64"/>
      <c r="I712" s="65"/>
      <c r="J712" s="66"/>
      <c r="K712" s="67"/>
      <c r="L712" s="68"/>
      <c r="M712" s="69"/>
      <c r="N712" s="70"/>
      <c r="O712" s="71"/>
      <c r="P712" s="72"/>
      <c r="Q712" s="73"/>
      <c r="S712" s="64"/>
    </row>
    <row r="713" ht="15.75" customHeight="1">
      <c r="F713" s="64"/>
      <c r="I713" s="65"/>
      <c r="J713" s="66"/>
      <c r="K713" s="67"/>
      <c r="L713" s="68"/>
      <c r="M713" s="69"/>
      <c r="N713" s="70"/>
      <c r="O713" s="71"/>
      <c r="P713" s="72"/>
      <c r="Q713" s="73"/>
      <c r="S713" s="64"/>
    </row>
    <row r="714" ht="15.75" customHeight="1">
      <c r="F714" s="64"/>
      <c r="I714" s="65"/>
      <c r="J714" s="66"/>
      <c r="K714" s="67"/>
      <c r="L714" s="68"/>
      <c r="M714" s="69"/>
      <c r="N714" s="70"/>
      <c r="O714" s="71"/>
      <c r="P714" s="72"/>
      <c r="Q714" s="73"/>
      <c r="S714" s="64"/>
    </row>
    <row r="715" ht="15.75" customHeight="1">
      <c r="F715" s="64"/>
      <c r="I715" s="65"/>
      <c r="J715" s="66"/>
      <c r="K715" s="67"/>
      <c r="L715" s="68"/>
      <c r="M715" s="69"/>
      <c r="N715" s="70"/>
      <c r="O715" s="71"/>
      <c r="P715" s="72"/>
      <c r="Q715" s="73"/>
      <c r="S715" s="64"/>
    </row>
    <row r="716" ht="15.75" customHeight="1">
      <c r="F716" s="64"/>
      <c r="I716" s="65"/>
      <c r="J716" s="66"/>
      <c r="K716" s="67"/>
      <c r="L716" s="68"/>
      <c r="M716" s="69"/>
      <c r="N716" s="70"/>
      <c r="O716" s="71"/>
      <c r="P716" s="72"/>
      <c r="Q716" s="73"/>
      <c r="S716" s="64"/>
    </row>
    <row r="717" ht="15.75" customHeight="1">
      <c r="F717" s="64"/>
      <c r="I717" s="65"/>
      <c r="J717" s="66"/>
      <c r="K717" s="67"/>
      <c r="L717" s="68"/>
      <c r="M717" s="69"/>
      <c r="N717" s="70"/>
      <c r="O717" s="71"/>
      <c r="P717" s="72"/>
      <c r="Q717" s="73"/>
      <c r="S717" s="64"/>
    </row>
    <row r="718" ht="15.75" customHeight="1">
      <c r="F718" s="64"/>
      <c r="I718" s="65"/>
      <c r="J718" s="66"/>
      <c r="K718" s="67"/>
      <c r="L718" s="68"/>
      <c r="M718" s="69"/>
      <c r="N718" s="70"/>
      <c r="O718" s="71"/>
      <c r="P718" s="72"/>
      <c r="Q718" s="73"/>
      <c r="S718" s="64"/>
    </row>
    <row r="719" ht="15.75" customHeight="1">
      <c r="F719" s="64"/>
      <c r="I719" s="65"/>
      <c r="J719" s="66"/>
      <c r="K719" s="67"/>
      <c r="L719" s="68"/>
      <c r="M719" s="69"/>
      <c r="N719" s="70"/>
      <c r="O719" s="71"/>
      <c r="P719" s="72"/>
      <c r="Q719" s="73"/>
      <c r="S719" s="64"/>
    </row>
    <row r="720" ht="15.75" customHeight="1">
      <c r="F720" s="64"/>
      <c r="I720" s="65"/>
      <c r="J720" s="66"/>
      <c r="K720" s="67"/>
      <c r="L720" s="68"/>
      <c r="M720" s="69"/>
      <c r="N720" s="70"/>
      <c r="O720" s="71"/>
      <c r="P720" s="72"/>
      <c r="Q720" s="73"/>
      <c r="S720" s="64"/>
    </row>
    <row r="721" ht="15.75" customHeight="1">
      <c r="F721" s="64"/>
      <c r="I721" s="65"/>
      <c r="J721" s="66"/>
      <c r="K721" s="67"/>
      <c r="L721" s="68"/>
      <c r="M721" s="69"/>
      <c r="N721" s="70"/>
      <c r="O721" s="71"/>
      <c r="P721" s="72"/>
      <c r="Q721" s="73"/>
      <c r="S721" s="64"/>
    </row>
    <row r="722" ht="15.75" customHeight="1">
      <c r="F722" s="64"/>
      <c r="I722" s="65"/>
      <c r="J722" s="66"/>
      <c r="K722" s="67"/>
      <c r="L722" s="68"/>
      <c r="M722" s="69"/>
      <c r="N722" s="70"/>
      <c r="O722" s="71"/>
      <c r="P722" s="72"/>
      <c r="Q722" s="73"/>
      <c r="S722" s="64"/>
    </row>
    <row r="723" ht="15.75" customHeight="1">
      <c r="F723" s="64"/>
      <c r="I723" s="65"/>
      <c r="J723" s="66"/>
      <c r="K723" s="67"/>
      <c r="L723" s="68"/>
      <c r="M723" s="69"/>
      <c r="N723" s="70"/>
      <c r="O723" s="71"/>
      <c r="P723" s="72"/>
      <c r="Q723" s="73"/>
      <c r="S723" s="64"/>
    </row>
    <row r="724" ht="15.75" customHeight="1">
      <c r="F724" s="64"/>
      <c r="I724" s="65"/>
      <c r="J724" s="66"/>
      <c r="K724" s="67"/>
      <c r="L724" s="68"/>
      <c r="M724" s="69"/>
      <c r="N724" s="70"/>
      <c r="O724" s="71"/>
      <c r="P724" s="72"/>
      <c r="Q724" s="73"/>
      <c r="S724" s="64"/>
    </row>
    <row r="725" ht="15.75" customHeight="1">
      <c r="F725" s="64"/>
      <c r="I725" s="65"/>
      <c r="J725" s="66"/>
      <c r="K725" s="67"/>
      <c r="L725" s="68"/>
      <c r="M725" s="69"/>
      <c r="N725" s="70"/>
      <c r="O725" s="71"/>
      <c r="P725" s="72"/>
      <c r="Q725" s="73"/>
      <c r="S725" s="64"/>
    </row>
    <row r="726" ht="15.75" customHeight="1">
      <c r="F726" s="64"/>
      <c r="I726" s="65"/>
      <c r="J726" s="66"/>
      <c r="K726" s="67"/>
      <c r="L726" s="68"/>
      <c r="M726" s="69"/>
      <c r="N726" s="70"/>
      <c r="O726" s="71"/>
      <c r="P726" s="72"/>
      <c r="Q726" s="73"/>
      <c r="S726" s="64"/>
    </row>
    <row r="727" ht="15.75" customHeight="1">
      <c r="F727" s="64"/>
      <c r="I727" s="65"/>
      <c r="J727" s="66"/>
      <c r="K727" s="67"/>
      <c r="L727" s="68"/>
      <c r="M727" s="69"/>
      <c r="N727" s="70"/>
      <c r="O727" s="71"/>
      <c r="P727" s="72"/>
      <c r="Q727" s="73"/>
      <c r="S727" s="64"/>
    </row>
    <row r="728" ht="15.75" customHeight="1">
      <c r="F728" s="64"/>
      <c r="I728" s="65"/>
      <c r="J728" s="66"/>
      <c r="K728" s="67"/>
      <c r="L728" s="68"/>
      <c r="M728" s="69"/>
      <c r="N728" s="70"/>
      <c r="O728" s="71"/>
      <c r="P728" s="72"/>
      <c r="Q728" s="73"/>
      <c r="S728" s="64"/>
    </row>
    <row r="729" ht="15.75" customHeight="1">
      <c r="F729" s="64"/>
      <c r="I729" s="65"/>
      <c r="J729" s="66"/>
      <c r="K729" s="67"/>
      <c r="L729" s="68"/>
      <c r="M729" s="69"/>
      <c r="N729" s="70"/>
      <c r="O729" s="71"/>
      <c r="P729" s="72"/>
      <c r="Q729" s="73"/>
      <c r="S729" s="64"/>
    </row>
    <row r="730" ht="15.75" customHeight="1">
      <c r="F730" s="64"/>
      <c r="I730" s="65"/>
      <c r="J730" s="66"/>
      <c r="K730" s="67"/>
      <c r="L730" s="68"/>
      <c r="M730" s="69"/>
      <c r="N730" s="70"/>
      <c r="O730" s="71"/>
      <c r="P730" s="72"/>
      <c r="Q730" s="73"/>
      <c r="S730" s="64"/>
    </row>
    <row r="731" ht="15.75" customHeight="1">
      <c r="F731" s="64"/>
      <c r="I731" s="65"/>
      <c r="J731" s="66"/>
      <c r="K731" s="67"/>
      <c r="L731" s="68"/>
      <c r="M731" s="69"/>
      <c r="N731" s="70"/>
      <c r="O731" s="71"/>
      <c r="P731" s="72"/>
      <c r="Q731" s="73"/>
      <c r="S731" s="64"/>
    </row>
    <row r="732" ht="15.75" customHeight="1">
      <c r="F732" s="64"/>
      <c r="I732" s="65"/>
      <c r="J732" s="66"/>
      <c r="K732" s="67"/>
      <c r="L732" s="68"/>
      <c r="M732" s="69"/>
      <c r="N732" s="70"/>
      <c r="O732" s="71"/>
      <c r="P732" s="72"/>
      <c r="Q732" s="73"/>
      <c r="S732" s="64"/>
    </row>
    <row r="733" ht="15.75" customHeight="1">
      <c r="F733" s="64"/>
      <c r="I733" s="65"/>
      <c r="J733" s="66"/>
      <c r="K733" s="67"/>
      <c r="L733" s="68"/>
      <c r="M733" s="69"/>
      <c r="N733" s="70"/>
      <c r="O733" s="71"/>
      <c r="P733" s="72"/>
      <c r="Q733" s="73"/>
      <c r="S733" s="64"/>
    </row>
    <row r="734" ht="15.75" customHeight="1">
      <c r="F734" s="64"/>
      <c r="I734" s="65"/>
      <c r="J734" s="66"/>
      <c r="K734" s="67"/>
      <c r="L734" s="68"/>
      <c r="M734" s="69"/>
      <c r="N734" s="70"/>
      <c r="O734" s="71"/>
      <c r="P734" s="72"/>
      <c r="Q734" s="73"/>
      <c r="S734" s="64"/>
    </row>
    <row r="735" ht="15.75" customHeight="1">
      <c r="F735" s="64"/>
      <c r="I735" s="65"/>
      <c r="J735" s="66"/>
      <c r="K735" s="67"/>
      <c r="L735" s="68"/>
      <c r="M735" s="69"/>
      <c r="N735" s="70"/>
      <c r="O735" s="71"/>
      <c r="P735" s="72"/>
      <c r="Q735" s="73"/>
      <c r="S735" s="64"/>
    </row>
    <row r="736" ht="15.75" customHeight="1">
      <c r="F736" s="64"/>
      <c r="I736" s="65"/>
      <c r="J736" s="66"/>
      <c r="K736" s="67"/>
      <c r="L736" s="68"/>
      <c r="M736" s="69"/>
      <c r="N736" s="70"/>
      <c r="O736" s="71"/>
      <c r="P736" s="72"/>
      <c r="Q736" s="73"/>
      <c r="S736" s="64"/>
    </row>
    <row r="737" ht="15.75" customHeight="1">
      <c r="F737" s="64"/>
      <c r="I737" s="65"/>
      <c r="J737" s="66"/>
      <c r="K737" s="67"/>
      <c r="L737" s="68"/>
      <c r="M737" s="69"/>
      <c r="N737" s="70"/>
      <c r="O737" s="71"/>
      <c r="P737" s="72"/>
      <c r="Q737" s="73"/>
      <c r="S737" s="64"/>
    </row>
    <row r="738" ht="15.75" customHeight="1">
      <c r="F738" s="64"/>
      <c r="I738" s="65"/>
      <c r="J738" s="66"/>
      <c r="K738" s="67"/>
      <c r="L738" s="68"/>
      <c r="M738" s="69"/>
      <c r="N738" s="70"/>
      <c r="O738" s="71"/>
      <c r="P738" s="72"/>
      <c r="Q738" s="73"/>
      <c r="S738" s="64"/>
    </row>
    <row r="739" ht="15.75" customHeight="1">
      <c r="F739" s="64"/>
      <c r="I739" s="65"/>
      <c r="J739" s="66"/>
      <c r="K739" s="67"/>
      <c r="L739" s="68"/>
      <c r="M739" s="69"/>
      <c r="N739" s="70"/>
      <c r="O739" s="71"/>
      <c r="P739" s="72"/>
      <c r="Q739" s="73"/>
      <c r="S739" s="64"/>
    </row>
    <row r="740" ht="15.75" customHeight="1">
      <c r="F740" s="64"/>
      <c r="I740" s="65"/>
      <c r="J740" s="66"/>
      <c r="K740" s="67"/>
      <c r="L740" s="68"/>
      <c r="M740" s="69"/>
      <c r="N740" s="70"/>
      <c r="O740" s="71"/>
      <c r="P740" s="72"/>
      <c r="Q740" s="73"/>
      <c r="S740" s="64"/>
    </row>
    <row r="741" ht="15.75" customHeight="1">
      <c r="F741" s="64"/>
      <c r="I741" s="65"/>
      <c r="J741" s="66"/>
      <c r="K741" s="67"/>
      <c r="L741" s="68"/>
      <c r="M741" s="69"/>
      <c r="N741" s="70"/>
      <c r="O741" s="71"/>
      <c r="P741" s="72"/>
      <c r="Q741" s="73"/>
      <c r="S741" s="64"/>
    </row>
    <row r="742" ht="15.75" customHeight="1">
      <c r="F742" s="64"/>
      <c r="I742" s="65"/>
      <c r="J742" s="66"/>
      <c r="K742" s="67"/>
      <c r="L742" s="68"/>
      <c r="M742" s="69"/>
      <c r="N742" s="70"/>
      <c r="O742" s="71"/>
      <c r="P742" s="72"/>
      <c r="Q742" s="73"/>
      <c r="S742" s="64"/>
    </row>
    <row r="743" ht="15.75" customHeight="1">
      <c r="F743" s="64"/>
      <c r="I743" s="65"/>
      <c r="J743" s="66"/>
      <c r="K743" s="67"/>
      <c r="L743" s="68"/>
      <c r="M743" s="69"/>
      <c r="N743" s="70"/>
      <c r="O743" s="71"/>
      <c r="P743" s="72"/>
      <c r="Q743" s="73"/>
      <c r="S743" s="64"/>
    </row>
    <row r="744" ht="15.75" customHeight="1">
      <c r="F744" s="64"/>
      <c r="I744" s="65"/>
      <c r="J744" s="66"/>
      <c r="K744" s="67"/>
      <c r="L744" s="68"/>
      <c r="M744" s="69"/>
      <c r="N744" s="70"/>
      <c r="O744" s="71"/>
      <c r="P744" s="72"/>
      <c r="Q744" s="73"/>
      <c r="S744" s="64"/>
    </row>
    <row r="745" ht="15.75" customHeight="1">
      <c r="F745" s="64"/>
      <c r="I745" s="65"/>
      <c r="J745" s="66"/>
      <c r="K745" s="67"/>
      <c r="L745" s="68"/>
      <c r="M745" s="69"/>
      <c r="N745" s="70"/>
      <c r="O745" s="71"/>
      <c r="P745" s="72"/>
      <c r="Q745" s="73"/>
      <c r="S745" s="64"/>
    </row>
    <row r="746" ht="15.75" customHeight="1">
      <c r="F746" s="64"/>
      <c r="I746" s="65"/>
      <c r="J746" s="66"/>
      <c r="K746" s="67"/>
      <c r="L746" s="68"/>
      <c r="M746" s="69"/>
      <c r="N746" s="70"/>
      <c r="O746" s="71"/>
      <c r="P746" s="72"/>
      <c r="Q746" s="73"/>
      <c r="S746" s="64"/>
    </row>
    <row r="747" ht="15.75" customHeight="1">
      <c r="F747" s="64"/>
      <c r="I747" s="65"/>
      <c r="J747" s="66"/>
      <c r="K747" s="67"/>
      <c r="L747" s="68"/>
      <c r="M747" s="69"/>
      <c r="N747" s="70"/>
      <c r="O747" s="71"/>
      <c r="P747" s="72"/>
      <c r="Q747" s="73"/>
      <c r="S747" s="64"/>
    </row>
    <row r="748" ht="15.75" customHeight="1">
      <c r="F748" s="64"/>
      <c r="I748" s="65"/>
      <c r="J748" s="66"/>
      <c r="K748" s="67"/>
      <c r="L748" s="68"/>
      <c r="M748" s="69"/>
      <c r="N748" s="70"/>
      <c r="O748" s="71"/>
      <c r="P748" s="72"/>
      <c r="Q748" s="73"/>
      <c r="S748" s="64"/>
    </row>
    <row r="749" ht="15.75" customHeight="1">
      <c r="F749" s="64"/>
      <c r="I749" s="65"/>
      <c r="J749" s="66"/>
      <c r="K749" s="67"/>
      <c r="L749" s="68"/>
      <c r="M749" s="69"/>
      <c r="N749" s="70"/>
      <c r="O749" s="71"/>
      <c r="P749" s="72"/>
      <c r="Q749" s="73"/>
      <c r="S749" s="64"/>
    </row>
    <row r="750" ht="15.75" customHeight="1">
      <c r="F750" s="64"/>
      <c r="I750" s="65"/>
      <c r="J750" s="66"/>
      <c r="K750" s="67"/>
      <c r="L750" s="68"/>
      <c r="M750" s="69"/>
      <c r="N750" s="70"/>
      <c r="O750" s="71"/>
      <c r="P750" s="72"/>
      <c r="Q750" s="73"/>
      <c r="S750" s="64"/>
    </row>
    <row r="751" ht="15.75" customHeight="1">
      <c r="F751" s="64"/>
      <c r="I751" s="65"/>
      <c r="J751" s="66"/>
      <c r="K751" s="67"/>
      <c r="L751" s="68"/>
      <c r="M751" s="69"/>
      <c r="N751" s="70"/>
      <c r="O751" s="71"/>
      <c r="P751" s="72"/>
      <c r="Q751" s="73"/>
      <c r="S751" s="64"/>
    </row>
    <row r="752" ht="15.75" customHeight="1">
      <c r="F752" s="64"/>
      <c r="I752" s="65"/>
      <c r="J752" s="66"/>
      <c r="K752" s="67"/>
      <c r="L752" s="68"/>
      <c r="M752" s="69"/>
      <c r="N752" s="70"/>
      <c r="O752" s="71"/>
      <c r="P752" s="72"/>
      <c r="Q752" s="73"/>
      <c r="S752" s="64"/>
    </row>
    <row r="753" ht="15.75" customHeight="1">
      <c r="F753" s="64"/>
      <c r="I753" s="65"/>
      <c r="J753" s="66"/>
      <c r="K753" s="67"/>
      <c r="L753" s="68"/>
      <c r="M753" s="69"/>
      <c r="N753" s="70"/>
      <c r="O753" s="71"/>
      <c r="P753" s="72"/>
      <c r="Q753" s="73"/>
      <c r="S753" s="64"/>
    </row>
    <row r="754" ht="15.75" customHeight="1">
      <c r="F754" s="64"/>
      <c r="I754" s="65"/>
      <c r="J754" s="66"/>
      <c r="K754" s="67"/>
      <c r="L754" s="68"/>
      <c r="M754" s="69"/>
      <c r="N754" s="70"/>
      <c r="O754" s="71"/>
      <c r="P754" s="72"/>
      <c r="Q754" s="73"/>
      <c r="S754" s="64"/>
    </row>
    <row r="755" ht="15.75" customHeight="1">
      <c r="F755" s="64"/>
      <c r="I755" s="65"/>
      <c r="J755" s="66"/>
      <c r="K755" s="67"/>
      <c r="L755" s="68"/>
      <c r="M755" s="69"/>
      <c r="N755" s="70"/>
      <c r="O755" s="71"/>
      <c r="P755" s="72"/>
      <c r="Q755" s="73"/>
      <c r="S755" s="64"/>
    </row>
    <row r="756" ht="15.75" customHeight="1">
      <c r="F756" s="64"/>
      <c r="I756" s="65"/>
      <c r="J756" s="66"/>
      <c r="K756" s="67"/>
      <c r="L756" s="68"/>
      <c r="M756" s="69"/>
      <c r="N756" s="70"/>
      <c r="O756" s="71"/>
      <c r="P756" s="72"/>
      <c r="Q756" s="73"/>
      <c r="S756" s="64"/>
    </row>
    <row r="757" ht="15.75" customHeight="1">
      <c r="F757" s="64"/>
      <c r="I757" s="65"/>
      <c r="J757" s="66"/>
      <c r="K757" s="67"/>
      <c r="L757" s="68"/>
      <c r="M757" s="69"/>
      <c r="N757" s="70"/>
      <c r="O757" s="71"/>
      <c r="P757" s="72"/>
      <c r="Q757" s="73"/>
      <c r="S757" s="64"/>
    </row>
    <row r="758" ht="15.75" customHeight="1">
      <c r="F758" s="64"/>
      <c r="I758" s="65"/>
      <c r="J758" s="66"/>
      <c r="K758" s="67"/>
      <c r="L758" s="68"/>
      <c r="M758" s="69"/>
      <c r="N758" s="70"/>
      <c r="O758" s="71"/>
      <c r="P758" s="72"/>
      <c r="Q758" s="73"/>
      <c r="S758" s="64"/>
    </row>
    <row r="759" ht="15.75" customHeight="1">
      <c r="F759" s="64"/>
      <c r="I759" s="65"/>
      <c r="J759" s="66"/>
      <c r="K759" s="67"/>
      <c r="L759" s="68"/>
      <c r="M759" s="69"/>
      <c r="N759" s="70"/>
      <c r="O759" s="71"/>
      <c r="P759" s="72"/>
      <c r="Q759" s="73"/>
      <c r="S759" s="64"/>
    </row>
    <row r="760" ht="15.75" customHeight="1">
      <c r="F760" s="64"/>
      <c r="I760" s="65"/>
      <c r="J760" s="66"/>
      <c r="K760" s="67"/>
      <c r="L760" s="68"/>
      <c r="M760" s="69"/>
      <c r="N760" s="70"/>
      <c r="O760" s="71"/>
      <c r="P760" s="72"/>
      <c r="Q760" s="73"/>
      <c r="S760" s="64"/>
    </row>
    <row r="761" ht="15.75" customHeight="1">
      <c r="F761" s="64"/>
      <c r="I761" s="65"/>
      <c r="J761" s="66"/>
      <c r="K761" s="67"/>
      <c r="L761" s="68"/>
      <c r="M761" s="69"/>
      <c r="N761" s="70"/>
      <c r="O761" s="71"/>
      <c r="P761" s="72"/>
      <c r="Q761" s="73"/>
      <c r="S761" s="64"/>
    </row>
    <row r="762" ht="15.75" customHeight="1">
      <c r="F762" s="64"/>
      <c r="I762" s="65"/>
      <c r="J762" s="66"/>
      <c r="K762" s="67"/>
      <c r="L762" s="68"/>
      <c r="M762" s="69"/>
      <c r="N762" s="70"/>
      <c r="O762" s="71"/>
      <c r="P762" s="72"/>
      <c r="Q762" s="73"/>
      <c r="S762" s="64"/>
    </row>
    <row r="763" ht="15.75" customHeight="1">
      <c r="F763" s="64"/>
      <c r="I763" s="65"/>
      <c r="J763" s="66"/>
      <c r="K763" s="67"/>
      <c r="L763" s="68"/>
      <c r="M763" s="69"/>
      <c r="N763" s="70"/>
      <c r="O763" s="71"/>
      <c r="P763" s="72"/>
      <c r="Q763" s="73"/>
      <c r="S763" s="64"/>
    </row>
    <row r="764" ht="15.75" customHeight="1">
      <c r="F764" s="64"/>
      <c r="I764" s="65"/>
      <c r="J764" s="66"/>
      <c r="K764" s="67"/>
      <c r="L764" s="68"/>
      <c r="M764" s="69"/>
      <c r="N764" s="70"/>
      <c r="O764" s="71"/>
      <c r="P764" s="72"/>
      <c r="Q764" s="73"/>
      <c r="S764" s="64"/>
    </row>
    <row r="765" ht="15.75" customHeight="1">
      <c r="F765" s="64"/>
      <c r="I765" s="65"/>
      <c r="J765" s="66"/>
      <c r="K765" s="67"/>
      <c r="L765" s="68"/>
      <c r="M765" s="69"/>
      <c r="N765" s="70"/>
      <c r="O765" s="71"/>
      <c r="P765" s="72"/>
      <c r="Q765" s="73"/>
      <c r="S765" s="64"/>
    </row>
    <row r="766" ht="15.75" customHeight="1">
      <c r="F766" s="64"/>
      <c r="I766" s="65"/>
      <c r="J766" s="66"/>
      <c r="K766" s="67"/>
      <c r="L766" s="68"/>
      <c r="M766" s="69"/>
      <c r="N766" s="70"/>
      <c r="O766" s="71"/>
      <c r="P766" s="72"/>
      <c r="Q766" s="73"/>
      <c r="S766" s="64"/>
    </row>
    <row r="767" ht="15.75" customHeight="1">
      <c r="F767" s="64"/>
      <c r="I767" s="65"/>
      <c r="J767" s="66"/>
      <c r="K767" s="67"/>
      <c r="L767" s="68"/>
      <c r="M767" s="69"/>
      <c r="N767" s="70"/>
      <c r="O767" s="71"/>
      <c r="P767" s="72"/>
      <c r="Q767" s="73"/>
      <c r="S767" s="64"/>
    </row>
    <row r="768" ht="15.75" customHeight="1">
      <c r="F768" s="64"/>
      <c r="I768" s="65"/>
      <c r="J768" s="66"/>
      <c r="K768" s="67"/>
      <c r="L768" s="68"/>
      <c r="M768" s="69"/>
      <c r="N768" s="70"/>
      <c r="O768" s="71"/>
      <c r="P768" s="72"/>
      <c r="Q768" s="73"/>
      <c r="S768" s="64"/>
    </row>
    <row r="769" ht="15.75" customHeight="1">
      <c r="F769" s="64"/>
      <c r="I769" s="65"/>
      <c r="J769" s="66"/>
      <c r="K769" s="67"/>
      <c r="L769" s="68"/>
      <c r="M769" s="69"/>
      <c r="N769" s="70"/>
      <c r="O769" s="71"/>
      <c r="P769" s="72"/>
      <c r="Q769" s="73"/>
      <c r="S769" s="64"/>
    </row>
    <row r="770" ht="15.75" customHeight="1">
      <c r="F770" s="64"/>
      <c r="I770" s="65"/>
      <c r="J770" s="66"/>
      <c r="K770" s="67"/>
      <c r="L770" s="68"/>
      <c r="M770" s="69"/>
      <c r="N770" s="70"/>
      <c r="O770" s="71"/>
      <c r="P770" s="72"/>
      <c r="Q770" s="73"/>
      <c r="S770" s="64"/>
    </row>
    <row r="771" ht="15.75" customHeight="1">
      <c r="F771" s="64"/>
      <c r="I771" s="65"/>
      <c r="J771" s="66"/>
      <c r="K771" s="67"/>
      <c r="L771" s="68"/>
      <c r="M771" s="69"/>
      <c r="N771" s="70"/>
      <c r="O771" s="71"/>
      <c r="P771" s="72"/>
      <c r="Q771" s="73"/>
      <c r="S771" s="64"/>
    </row>
    <row r="772" ht="15.75" customHeight="1">
      <c r="F772" s="64"/>
      <c r="I772" s="65"/>
      <c r="J772" s="66"/>
      <c r="K772" s="67"/>
      <c r="L772" s="68"/>
      <c r="M772" s="69"/>
      <c r="N772" s="70"/>
      <c r="O772" s="71"/>
      <c r="P772" s="72"/>
      <c r="Q772" s="73"/>
      <c r="S772" s="64"/>
    </row>
    <row r="773" ht="15.75" customHeight="1">
      <c r="F773" s="64"/>
      <c r="I773" s="65"/>
      <c r="J773" s="66"/>
      <c r="K773" s="67"/>
      <c r="L773" s="68"/>
      <c r="M773" s="69"/>
      <c r="N773" s="70"/>
      <c r="O773" s="71"/>
      <c r="P773" s="72"/>
      <c r="Q773" s="73"/>
      <c r="S773" s="64"/>
    </row>
    <row r="774" ht="15.75" customHeight="1">
      <c r="F774" s="64"/>
      <c r="I774" s="65"/>
      <c r="J774" s="66"/>
      <c r="K774" s="67"/>
      <c r="L774" s="68"/>
      <c r="M774" s="69"/>
      <c r="N774" s="70"/>
      <c r="O774" s="71"/>
      <c r="P774" s="72"/>
      <c r="Q774" s="73"/>
      <c r="S774" s="64"/>
    </row>
    <row r="775" ht="15.75" customHeight="1">
      <c r="F775" s="64"/>
      <c r="I775" s="65"/>
      <c r="J775" s="66"/>
      <c r="K775" s="67"/>
      <c r="L775" s="68"/>
      <c r="M775" s="69"/>
      <c r="N775" s="70"/>
      <c r="O775" s="71"/>
      <c r="P775" s="72"/>
      <c r="Q775" s="73"/>
      <c r="S775" s="64"/>
    </row>
    <row r="776" ht="15.75" customHeight="1">
      <c r="F776" s="64"/>
      <c r="I776" s="65"/>
      <c r="J776" s="66"/>
      <c r="K776" s="67"/>
      <c r="L776" s="68"/>
      <c r="M776" s="69"/>
      <c r="N776" s="70"/>
      <c r="O776" s="71"/>
      <c r="P776" s="72"/>
      <c r="Q776" s="73"/>
      <c r="S776" s="64"/>
    </row>
    <row r="777" ht="15.75" customHeight="1">
      <c r="F777" s="64"/>
      <c r="I777" s="65"/>
      <c r="J777" s="66"/>
      <c r="K777" s="67"/>
      <c r="L777" s="68"/>
      <c r="M777" s="69"/>
      <c r="N777" s="70"/>
      <c r="O777" s="71"/>
      <c r="P777" s="72"/>
      <c r="Q777" s="73"/>
      <c r="S777" s="64"/>
    </row>
    <row r="778" ht="15.75" customHeight="1">
      <c r="F778" s="64"/>
      <c r="I778" s="65"/>
      <c r="J778" s="66"/>
      <c r="K778" s="67"/>
      <c r="L778" s="68"/>
      <c r="M778" s="69"/>
      <c r="N778" s="70"/>
      <c r="O778" s="71"/>
      <c r="P778" s="72"/>
      <c r="Q778" s="73"/>
      <c r="S778" s="64"/>
    </row>
    <row r="779" ht="15.75" customHeight="1">
      <c r="F779" s="64"/>
      <c r="I779" s="65"/>
      <c r="J779" s="66"/>
      <c r="K779" s="67"/>
      <c r="L779" s="68"/>
      <c r="M779" s="69"/>
      <c r="N779" s="70"/>
      <c r="O779" s="71"/>
      <c r="P779" s="72"/>
      <c r="Q779" s="73"/>
      <c r="S779" s="64"/>
    </row>
    <row r="780" ht="15.75" customHeight="1">
      <c r="F780" s="64"/>
      <c r="I780" s="65"/>
      <c r="J780" s="66"/>
      <c r="K780" s="67"/>
      <c r="L780" s="68"/>
      <c r="M780" s="69"/>
      <c r="N780" s="70"/>
      <c r="O780" s="71"/>
      <c r="P780" s="72"/>
      <c r="Q780" s="73"/>
      <c r="S780" s="64"/>
    </row>
    <row r="781" ht="15.75" customHeight="1">
      <c r="F781" s="64"/>
      <c r="I781" s="65"/>
      <c r="J781" s="66"/>
      <c r="K781" s="67"/>
      <c r="L781" s="68"/>
      <c r="M781" s="69"/>
      <c r="N781" s="70"/>
      <c r="O781" s="71"/>
      <c r="P781" s="72"/>
      <c r="Q781" s="73"/>
      <c r="S781" s="64"/>
    </row>
    <row r="782" ht="15.75" customHeight="1">
      <c r="F782" s="64"/>
      <c r="I782" s="65"/>
      <c r="J782" s="66"/>
      <c r="K782" s="67"/>
      <c r="L782" s="68"/>
      <c r="M782" s="69"/>
      <c r="N782" s="70"/>
      <c r="O782" s="71"/>
      <c r="P782" s="72"/>
      <c r="Q782" s="73"/>
      <c r="S782" s="64"/>
    </row>
    <row r="783" ht="15.75" customHeight="1">
      <c r="F783" s="64"/>
      <c r="I783" s="65"/>
      <c r="J783" s="66"/>
      <c r="K783" s="67"/>
      <c r="L783" s="68"/>
      <c r="M783" s="69"/>
      <c r="N783" s="70"/>
      <c r="O783" s="71"/>
      <c r="P783" s="72"/>
      <c r="Q783" s="73"/>
      <c r="S783" s="64"/>
    </row>
    <row r="784" ht="15.75" customHeight="1">
      <c r="F784" s="64"/>
      <c r="I784" s="65"/>
      <c r="J784" s="66"/>
      <c r="K784" s="67"/>
      <c r="L784" s="68"/>
      <c r="M784" s="69"/>
      <c r="N784" s="70"/>
      <c r="O784" s="71"/>
      <c r="P784" s="72"/>
      <c r="Q784" s="73"/>
      <c r="S784" s="64"/>
    </row>
    <row r="785" ht="15.75" customHeight="1">
      <c r="F785" s="64"/>
      <c r="I785" s="65"/>
      <c r="J785" s="66"/>
      <c r="K785" s="67"/>
      <c r="L785" s="68"/>
      <c r="M785" s="69"/>
      <c r="N785" s="70"/>
      <c r="O785" s="71"/>
      <c r="P785" s="72"/>
      <c r="Q785" s="73"/>
      <c r="S785" s="64"/>
    </row>
    <row r="786" ht="15.75" customHeight="1">
      <c r="F786" s="64"/>
      <c r="I786" s="65"/>
      <c r="J786" s="66"/>
      <c r="K786" s="67"/>
      <c r="L786" s="68"/>
      <c r="M786" s="69"/>
      <c r="N786" s="70"/>
      <c r="O786" s="71"/>
      <c r="P786" s="72"/>
      <c r="Q786" s="73"/>
      <c r="S786" s="64"/>
    </row>
    <row r="787" ht="15.75" customHeight="1">
      <c r="F787" s="64"/>
      <c r="I787" s="65"/>
      <c r="J787" s="66"/>
      <c r="K787" s="67"/>
      <c r="L787" s="68"/>
      <c r="M787" s="69"/>
      <c r="N787" s="70"/>
      <c r="O787" s="71"/>
      <c r="P787" s="72"/>
      <c r="Q787" s="73"/>
      <c r="S787" s="64"/>
    </row>
    <row r="788" ht="15.75" customHeight="1">
      <c r="F788" s="64"/>
      <c r="I788" s="65"/>
      <c r="J788" s="66"/>
      <c r="K788" s="67"/>
      <c r="L788" s="68"/>
      <c r="M788" s="69"/>
      <c r="N788" s="70"/>
      <c r="O788" s="71"/>
      <c r="P788" s="72"/>
      <c r="Q788" s="73"/>
      <c r="S788" s="64"/>
    </row>
    <row r="789" ht="15.75" customHeight="1">
      <c r="F789" s="64"/>
      <c r="I789" s="65"/>
      <c r="J789" s="66"/>
      <c r="K789" s="67"/>
      <c r="L789" s="68"/>
      <c r="M789" s="69"/>
      <c r="N789" s="70"/>
      <c r="O789" s="71"/>
      <c r="P789" s="72"/>
      <c r="Q789" s="73"/>
      <c r="S789" s="64"/>
    </row>
    <row r="790" ht="15.75" customHeight="1">
      <c r="F790" s="64"/>
      <c r="I790" s="65"/>
      <c r="J790" s="66"/>
      <c r="K790" s="67"/>
      <c r="L790" s="68"/>
      <c r="M790" s="69"/>
      <c r="N790" s="70"/>
      <c r="O790" s="71"/>
      <c r="P790" s="72"/>
      <c r="Q790" s="73"/>
      <c r="S790" s="64"/>
    </row>
    <row r="791" ht="15.75" customHeight="1">
      <c r="F791" s="64"/>
      <c r="I791" s="65"/>
      <c r="J791" s="66"/>
      <c r="K791" s="67"/>
      <c r="L791" s="68"/>
      <c r="M791" s="69"/>
      <c r="N791" s="70"/>
      <c r="O791" s="71"/>
      <c r="P791" s="72"/>
      <c r="Q791" s="73"/>
      <c r="S791" s="64"/>
    </row>
    <row r="792" ht="15.75" customHeight="1">
      <c r="F792" s="64"/>
      <c r="I792" s="65"/>
      <c r="J792" s="66"/>
      <c r="K792" s="67"/>
      <c r="L792" s="68"/>
      <c r="M792" s="69"/>
      <c r="N792" s="70"/>
      <c r="O792" s="71"/>
      <c r="P792" s="72"/>
      <c r="Q792" s="73"/>
      <c r="S792" s="64"/>
    </row>
    <row r="793" ht="15.75" customHeight="1">
      <c r="F793" s="64"/>
      <c r="I793" s="65"/>
      <c r="J793" s="66"/>
      <c r="K793" s="67"/>
      <c r="L793" s="68"/>
      <c r="M793" s="69"/>
      <c r="N793" s="70"/>
      <c r="O793" s="71"/>
      <c r="P793" s="72"/>
      <c r="Q793" s="73"/>
      <c r="S793" s="64"/>
    </row>
    <row r="794" ht="15.75" customHeight="1">
      <c r="F794" s="64"/>
      <c r="I794" s="65"/>
      <c r="J794" s="66"/>
      <c r="K794" s="67"/>
      <c r="L794" s="68"/>
      <c r="M794" s="69"/>
      <c r="N794" s="70"/>
      <c r="O794" s="71"/>
      <c r="P794" s="72"/>
      <c r="Q794" s="73"/>
      <c r="S794" s="64"/>
    </row>
    <row r="795" ht="15.75" customHeight="1">
      <c r="F795" s="64"/>
      <c r="I795" s="65"/>
      <c r="J795" s="66"/>
      <c r="K795" s="67"/>
      <c r="L795" s="68"/>
      <c r="M795" s="69"/>
      <c r="N795" s="70"/>
      <c r="O795" s="71"/>
      <c r="P795" s="72"/>
      <c r="Q795" s="73"/>
      <c r="S795" s="64"/>
    </row>
    <row r="796" ht="15.75" customHeight="1">
      <c r="F796" s="64"/>
      <c r="I796" s="65"/>
      <c r="J796" s="66"/>
      <c r="K796" s="67"/>
      <c r="L796" s="68"/>
      <c r="M796" s="69"/>
      <c r="N796" s="70"/>
      <c r="O796" s="71"/>
      <c r="P796" s="72"/>
      <c r="Q796" s="73"/>
      <c r="S796" s="64"/>
    </row>
    <row r="797" ht="15.75" customHeight="1">
      <c r="F797" s="64"/>
      <c r="I797" s="65"/>
      <c r="J797" s="66"/>
      <c r="K797" s="67"/>
      <c r="L797" s="68"/>
      <c r="M797" s="69"/>
      <c r="N797" s="70"/>
      <c r="O797" s="71"/>
      <c r="P797" s="72"/>
      <c r="Q797" s="73"/>
      <c r="S797" s="64"/>
    </row>
    <row r="798" ht="15.75" customHeight="1">
      <c r="F798" s="64"/>
      <c r="I798" s="65"/>
      <c r="J798" s="66"/>
      <c r="K798" s="67"/>
      <c r="L798" s="68"/>
      <c r="M798" s="69"/>
      <c r="N798" s="70"/>
      <c r="O798" s="71"/>
      <c r="P798" s="72"/>
      <c r="Q798" s="73"/>
      <c r="S798" s="64"/>
    </row>
    <row r="799" ht="15.75" customHeight="1">
      <c r="F799" s="64"/>
      <c r="I799" s="65"/>
      <c r="J799" s="66"/>
      <c r="K799" s="67"/>
      <c r="L799" s="68"/>
      <c r="M799" s="69"/>
      <c r="N799" s="70"/>
      <c r="O799" s="71"/>
      <c r="P799" s="72"/>
      <c r="Q799" s="73"/>
      <c r="S799" s="64"/>
    </row>
    <row r="800" ht="15.75" customHeight="1">
      <c r="F800" s="64"/>
      <c r="I800" s="65"/>
      <c r="J800" s="66"/>
      <c r="K800" s="67"/>
      <c r="L800" s="68"/>
      <c r="M800" s="69"/>
      <c r="N800" s="70"/>
      <c r="O800" s="71"/>
      <c r="P800" s="72"/>
      <c r="Q800" s="73"/>
      <c r="S800" s="64"/>
    </row>
    <row r="801" ht="15.75" customHeight="1">
      <c r="F801" s="64"/>
      <c r="I801" s="65"/>
      <c r="J801" s="66"/>
      <c r="K801" s="67"/>
      <c r="L801" s="68"/>
      <c r="M801" s="69"/>
      <c r="N801" s="70"/>
      <c r="O801" s="71"/>
      <c r="P801" s="72"/>
      <c r="Q801" s="73"/>
      <c r="S801" s="64"/>
    </row>
    <row r="802" ht="15.75" customHeight="1">
      <c r="F802" s="64"/>
      <c r="I802" s="65"/>
      <c r="J802" s="66"/>
      <c r="K802" s="67"/>
      <c r="L802" s="68"/>
      <c r="M802" s="69"/>
      <c r="N802" s="70"/>
      <c r="O802" s="71"/>
      <c r="P802" s="72"/>
      <c r="Q802" s="73"/>
      <c r="S802" s="64"/>
    </row>
    <row r="803" ht="15.75" customHeight="1">
      <c r="F803" s="64"/>
      <c r="I803" s="65"/>
      <c r="J803" s="66"/>
      <c r="K803" s="67"/>
      <c r="L803" s="68"/>
      <c r="M803" s="69"/>
      <c r="N803" s="70"/>
      <c r="O803" s="71"/>
      <c r="P803" s="72"/>
      <c r="Q803" s="73"/>
      <c r="S803" s="64"/>
    </row>
    <row r="804" ht="15.75" customHeight="1">
      <c r="F804" s="64"/>
      <c r="I804" s="65"/>
      <c r="J804" s="66"/>
      <c r="K804" s="67"/>
      <c r="L804" s="68"/>
      <c r="M804" s="69"/>
      <c r="N804" s="70"/>
      <c r="O804" s="71"/>
      <c r="P804" s="72"/>
      <c r="Q804" s="73"/>
      <c r="S804" s="64"/>
    </row>
    <row r="805" ht="15.75" customHeight="1">
      <c r="F805" s="64"/>
      <c r="I805" s="65"/>
      <c r="J805" s="66"/>
      <c r="K805" s="67"/>
      <c r="L805" s="68"/>
      <c r="M805" s="69"/>
      <c r="N805" s="70"/>
      <c r="O805" s="71"/>
      <c r="P805" s="72"/>
      <c r="Q805" s="73"/>
      <c r="S805" s="64"/>
    </row>
    <row r="806" ht="15.75" customHeight="1">
      <c r="F806" s="64"/>
      <c r="I806" s="65"/>
      <c r="J806" s="66"/>
      <c r="K806" s="67"/>
      <c r="L806" s="68"/>
      <c r="M806" s="69"/>
      <c r="N806" s="70"/>
      <c r="O806" s="71"/>
      <c r="P806" s="72"/>
      <c r="Q806" s="73"/>
      <c r="S806" s="64"/>
    </row>
    <row r="807" ht="15.75" customHeight="1">
      <c r="F807" s="64"/>
      <c r="I807" s="65"/>
      <c r="J807" s="66"/>
      <c r="K807" s="67"/>
      <c r="L807" s="68"/>
      <c r="M807" s="69"/>
      <c r="N807" s="70"/>
      <c r="O807" s="71"/>
      <c r="P807" s="72"/>
      <c r="Q807" s="73"/>
      <c r="S807" s="64"/>
    </row>
    <row r="808" ht="15.75" customHeight="1">
      <c r="F808" s="64"/>
      <c r="I808" s="65"/>
      <c r="J808" s="66"/>
      <c r="K808" s="67"/>
      <c r="L808" s="68"/>
      <c r="M808" s="69"/>
      <c r="N808" s="70"/>
      <c r="O808" s="71"/>
      <c r="P808" s="72"/>
      <c r="Q808" s="73"/>
      <c r="S808" s="64"/>
    </row>
    <row r="809" ht="15.75" customHeight="1">
      <c r="F809" s="64"/>
      <c r="I809" s="65"/>
      <c r="J809" s="66"/>
      <c r="K809" s="67"/>
      <c r="L809" s="68"/>
      <c r="M809" s="69"/>
      <c r="N809" s="70"/>
      <c r="O809" s="71"/>
      <c r="P809" s="72"/>
      <c r="Q809" s="73"/>
      <c r="S809" s="64"/>
    </row>
    <row r="810" ht="15.75" customHeight="1">
      <c r="F810" s="64"/>
      <c r="I810" s="65"/>
      <c r="J810" s="66"/>
      <c r="K810" s="67"/>
      <c r="L810" s="68"/>
      <c r="M810" s="69"/>
      <c r="N810" s="70"/>
      <c r="O810" s="71"/>
      <c r="P810" s="72"/>
      <c r="Q810" s="73"/>
      <c r="S810" s="64"/>
    </row>
    <row r="811" ht="15.75" customHeight="1">
      <c r="F811" s="64"/>
      <c r="I811" s="65"/>
      <c r="J811" s="66"/>
      <c r="K811" s="67"/>
      <c r="L811" s="68"/>
      <c r="M811" s="69"/>
      <c r="N811" s="70"/>
      <c r="O811" s="71"/>
      <c r="P811" s="72"/>
      <c r="Q811" s="73"/>
      <c r="S811" s="64"/>
    </row>
    <row r="812" ht="15.75" customHeight="1">
      <c r="F812" s="64"/>
      <c r="I812" s="65"/>
      <c r="J812" s="66"/>
      <c r="K812" s="67"/>
      <c r="L812" s="68"/>
      <c r="M812" s="69"/>
      <c r="N812" s="70"/>
      <c r="O812" s="71"/>
      <c r="P812" s="72"/>
      <c r="Q812" s="73"/>
      <c r="S812" s="64"/>
    </row>
    <row r="813" ht="15.75" customHeight="1">
      <c r="F813" s="64"/>
      <c r="I813" s="65"/>
      <c r="J813" s="66"/>
      <c r="K813" s="67"/>
      <c r="L813" s="68"/>
      <c r="M813" s="69"/>
      <c r="N813" s="70"/>
      <c r="O813" s="71"/>
      <c r="P813" s="72"/>
      <c r="Q813" s="73"/>
      <c r="S813" s="64"/>
    </row>
    <row r="814" ht="15.75" customHeight="1">
      <c r="F814" s="64"/>
      <c r="I814" s="65"/>
      <c r="J814" s="66"/>
      <c r="K814" s="67"/>
      <c r="L814" s="68"/>
      <c r="M814" s="69"/>
      <c r="N814" s="70"/>
      <c r="O814" s="71"/>
      <c r="P814" s="72"/>
      <c r="Q814" s="73"/>
      <c r="S814" s="64"/>
    </row>
    <row r="815" ht="15.75" customHeight="1">
      <c r="F815" s="64"/>
      <c r="I815" s="65"/>
      <c r="J815" s="66"/>
      <c r="K815" s="67"/>
      <c r="L815" s="68"/>
      <c r="M815" s="69"/>
      <c r="N815" s="70"/>
      <c r="O815" s="71"/>
      <c r="P815" s="72"/>
      <c r="Q815" s="73"/>
      <c r="S815" s="64"/>
    </row>
    <row r="816" ht="15.75" customHeight="1">
      <c r="F816" s="64"/>
      <c r="I816" s="65"/>
      <c r="J816" s="66"/>
      <c r="K816" s="67"/>
      <c r="L816" s="68"/>
      <c r="M816" s="69"/>
      <c r="N816" s="70"/>
      <c r="O816" s="71"/>
      <c r="P816" s="72"/>
      <c r="Q816" s="73"/>
      <c r="S816" s="64"/>
    </row>
    <row r="817" ht="15.75" customHeight="1">
      <c r="F817" s="64"/>
      <c r="I817" s="65"/>
      <c r="J817" s="66"/>
      <c r="K817" s="67"/>
      <c r="L817" s="68"/>
      <c r="M817" s="69"/>
      <c r="N817" s="70"/>
      <c r="O817" s="71"/>
      <c r="P817" s="72"/>
      <c r="Q817" s="73"/>
      <c r="S817" s="64"/>
    </row>
    <row r="818" ht="15.75" customHeight="1">
      <c r="F818" s="64"/>
      <c r="I818" s="65"/>
      <c r="J818" s="66"/>
      <c r="K818" s="67"/>
      <c r="L818" s="68"/>
      <c r="M818" s="69"/>
      <c r="N818" s="70"/>
      <c r="O818" s="71"/>
      <c r="P818" s="72"/>
      <c r="Q818" s="73"/>
      <c r="S818" s="64"/>
    </row>
    <row r="819" ht="15.75" customHeight="1">
      <c r="F819" s="64"/>
      <c r="I819" s="65"/>
      <c r="J819" s="66"/>
      <c r="K819" s="67"/>
      <c r="L819" s="68"/>
      <c r="M819" s="69"/>
      <c r="N819" s="70"/>
      <c r="O819" s="71"/>
      <c r="P819" s="72"/>
      <c r="Q819" s="73"/>
      <c r="S819" s="64"/>
    </row>
    <row r="820" ht="15.75" customHeight="1">
      <c r="F820" s="64"/>
      <c r="I820" s="65"/>
      <c r="J820" s="66"/>
      <c r="K820" s="67"/>
      <c r="L820" s="68"/>
      <c r="M820" s="69"/>
      <c r="N820" s="70"/>
      <c r="O820" s="71"/>
      <c r="P820" s="72"/>
      <c r="Q820" s="73"/>
      <c r="S820" s="64"/>
    </row>
    <row r="821" ht="15.75" customHeight="1">
      <c r="F821" s="64"/>
      <c r="I821" s="65"/>
      <c r="J821" s="66"/>
      <c r="K821" s="67"/>
      <c r="L821" s="68"/>
      <c r="M821" s="69"/>
      <c r="N821" s="70"/>
      <c r="O821" s="71"/>
      <c r="P821" s="72"/>
      <c r="Q821" s="73"/>
      <c r="S821" s="64"/>
    </row>
    <row r="822" ht="15.75" customHeight="1">
      <c r="F822" s="64"/>
      <c r="I822" s="65"/>
      <c r="J822" s="66"/>
      <c r="K822" s="67"/>
      <c r="L822" s="68"/>
      <c r="M822" s="69"/>
      <c r="N822" s="70"/>
      <c r="O822" s="71"/>
      <c r="P822" s="72"/>
      <c r="Q822" s="73"/>
      <c r="S822" s="64"/>
    </row>
    <row r="823" ht="15.75" customHeight="1">
      <c r="F823" s="64"/>
      <c r="I823" s="65"/>
      <c r="J823" s="66"/>
      <c r="K823" s="67"/>
      <c r="L823" s="68"/>
      <c r="M823" s="69"/>
      <c r="N823" s="70"/>
      <c r="O823" s="71"/>
      <c r="P823" s="72"/>
      <c r="Q823" s="73"/>
      <c r="S823" s="64"/>
    </row>
    <row r="824" ht="15.75" customHeight="1">
      <c r="F824" s="64"/>
      <c r="I824" s="65"/>
      <c r="J824" s="66"/>
      <c r="K824" s="67"/>
      <c r="L824" s="68"/>
      <c r="M824" s="69"/>
      <c r="N824" s="70"/>
      <c r="O824" s="71"/>
      <c r="P824" s="72"/>
      <c r="Q824" s="73"/>
      <c r="S824" s="64"/>
    </row>
    <row r="825" ht="15.75" customHeight="1">
      <c r="F825" s="64"/>
      <c r="I825" s="65"/>
      <c r="J825" s="66"/>
      <c r="K825" s="67"/>
      <c r="L825" s="68"/>
      <c r="M825" s="69"/>
      <c r="N825" s="70"/>
      <c r="O825" s="71"/>
      <c r="P825" s="72"/>
      <c r="Q825" s="73"/>
      <c r="S825" s="64"/>
    </row>
    <row r="826" ht="15.75" customHeight="1">
      <c r="F826" s="64"/>
      <c r="I826" s="65"/>
      <c r="J826" s="66"/>
      <c r="K826" s="67"/>
      <c r="L826" s="68"/>
      <c r="M826" s="69"/>
      <c r="N826" s="70"/>
      <c r="O826" s="71"/>
      <c r="P826" s="72"/>
      <c r="Q826" s="73"/>
      <c r="S826" s="64"/>
    </row>
    <row r="827" ht="15.75" customHeight="1">
      <c r="F827" s="64"/>
      <c r="I827" s="65"/>
      <c r="J827" s="66"/>
      <c r="K827" s="67"/>
      <c r="L827" s="68"/>
      <c r="M827" s="69"/>
      <c r="N827" s="70"/>
      <c r="O827" s="71"/>
      <c r="P827" s="72"/>
      <c r="Q827" s="73"/>
      <c r="S827" s="64"/>
    </row>
    <row r="828" ht="15.75" customHeight="1">
      <c r="F828" s="64"/>
      <c r="I828" s="65"/>
      <c r="J828" s="66"/>
      <c r="K828" s="67"/>
      <c r="L828" s="68"/>
      <c r="M828" s="69"/>
      <c r="N828" s="70"/>
      <c r="O828" s="71"/>
      <c r="P828" s="72"/>
      <c r="Q828" s="73"/>
      <c r="S828" s="64"/>
    </row>
    <row r="829" ht="15.75" customHeight="1">
      <c r="F829" s="64"/>
      <c r="I829" s="65"/>
      <c r="J829" s="66"/>
      <c r="K829" s="67"/>
      <c r="L829" s="68"/>
      <c r="M829" s="69"/>
      <c r="N829" s="70"/>
      <c r="O829" s="71"/>
      <c r="P829" s="72"/>
      <c r="Q829" s="73"/>
      <c r="S829" s="64"/>
    </row>
    <row r="830" ht="15.75" customHeight="1">
      <c r="F830" s="64"/>
      <c r="I830" s="65"/>
      <c r="J830" s="66"/>
      <c r="K830" s="67"/>
      <c r="L830" s="68"/>
      <c r="M830" s="69"/>
      <c r="N830" s="70"/>
      <c r="O830" s="71"/>
      <c r="P830" s="72"/>
      <c r="Q830" s="73"/>
      <c r="S830" s="64"/>
    </row>
    <row r="831" ht="15.75" customHeight="1">
      <c r="F831" s="64"/>
      <c r="I831" s="65"/>
      <c r="J831" s="66"/>
      <c r="K831" s="67"/>
      <c r="L831" s="68"/>
      <c r="M831" s="69"/>
      <c r="N831" s="70"/>
      <c r="O831" s="71"/>
      <c r="P831" s="72"/>
      <c r="Q831" s="73"/>
      <c r="S831" s="64"/>
    </row>
    <row r="832" ht="15.75" customHeight="1">
      <c r="F832" s="64"/>
      <c r="I832" s="65"/>
      <c r="J832" s="66"/>
      <c r="K832" s="67"/>
      <c r="L832" s="68"/>
      <c r="M832" s="69"/>
      <c r="N832" s="70"/>
      <c r="O832" s="71"/>
      <c r="P832" s="72"/>
      <c r="Q832" s="73"/>
      <c r="S832" s="64"/>
    </row>
    <row r="833" ht="15.75" customHeight="1">
      <c r="F833" s="64"/>
      <c r="I833" s="65"/>
      <c r="J833" s="66"/>
      <c r="K833" s="67"/>
      <c r="L833" s="68"/>
      <c r="M833" s="69"/>
      <c r="N833" s="70"/>
      <c r="O833" s="71"/>
      <c r="P833" s="72"/>
      <c r="Q833" s="73"/>
      <c r="S833" s="64"/>
    </row>
    <row r="834" ht="15.75" customHeight="1">
      <c r="F834" s="64"/>
      <c r="I834" s="65"/>
      <c r="J834" s="66"/>
      <c r="K834" s="67"/>
      <c r="L834" s="68"/>
      <c r="M834" s="69"/>
      <c r="N834" s="70"/>
      <c r="O834" s="71"/>
      <c r="P834" s="72"/>
      <c r="Q834" s="73"/>
      <c r="S834" s="64"/>
    </row>
    <row r="835" ht="15.75" customHeight="1">
      <c r="F835" s="64"/>
      <c r="I835" s="65"/>
      <c r="J835" s="66"/>
      <c r="K835" s="67"/>
      <c r="L835" s="68"/>
      <c r="M835" s="69"/>
      <c r="N835" s="70"/>
      <c r="O835" s="71"/>
      <c r="P835" s="72"/>
      <c r="Q835" s="73"/>
      <c r="S835" s="64"/>
    </row>
    <row r="836" ht="15.75" customHeight="1">
      <c r="F836" s="64"/>
      <c r="I836" s="65"/>
      <c r="J836" s="66"/>
      <c r="K836" s="67"/>
      <c r="L836" s="68"/>
      <c r="M836" s="69"/>
      <c r="N836" s="70"/>
      <c r="O836" s="71"/>
      <c r="P836" s="72"/>
      <c r="Q836" s="73"/>
      <c r="S836" s="64"/>
    </row>
    <row r="837" ht="15.75" customHeight="1">
      <c r="F837" s="64"/>
      <c r="I837" s="65"/>
      <c r="J837" s="66"/>
      <c r="K837" s="67"/>
      <c r="L837" s="68"/>
      <c r="M837" s="69"/>
      <c r="N837" s="70"/>
      <c r="O837" s="71"/>
      <c r="P837" s="72"/>
      <c r="Q837" s="73"/>
      <c r="S837" s="64"/>
    </row>
    <row r="838" ht="15.75" customHeight="1">
      <c r="F838" s="64"/>
      <c r="I838" s="65"/>
      <c r="J838" s="66"/>
      <c r="K838" s="67"/>
      <c r="L838" s="68"/>
      <c r="M838" s="69"/>
      <c r="N838" s="70"/>
      <c r="O838" s="71"/>
      <c r="P838" s="72"/>
      <c r="Q838" s="73"/>
      <c r="S838" s="64"/>
    </row>
    <row r="839" ht="15.75" customHeight="1">
      <c r="F839" s="64"/>
      <c r="I839" s="65"/>
      <c r="J839" s="66"/>
      <c r="K839" s="67"/>
      <c r="L839" s="68"/>
      <c r="M839" s="69"/>
      <c r="N839" s="70"/>
      <c r="O839" s="71"/>
      <c r="P839" s="72"/>
      <c r="Q839" s="73"/>
      <c r="S839" s="64"/>
    </row>
    <row r="840" ht="15.75" customHeight="1">
      <c r="F840" s="64"/>
      <c r="I840" s="65"/>
      <c r="J840" s="66"/>
      <c r="K840" s="67"/>
      <c r="L840" s="68"/>
      <c r="M840" s="69"/>
      <c r="N840" s="70"/>
      <c r="O840" s="71"/>
      <c r="P840" s="72"/>
      <c r="Q840" s="73"/>
      <c r="S840" s="64"/>
    </row>
    <row r="841" ht="15.75" customHeight="1">
      <c r="F841" s="64"/>
      <c r="I841" s="65"/>
      <c r="J841" s="66"/>
      <c r="K841" s="67"/>
      <c r="L841" s="68"/>
      <c r="M841" s="69"/>
      <c r="N841" s="70"/>
      <c r="O841" s="71"/>
      <c r="P841" s="72"/>
      <c r="Q841" s="73"/>
      <c r="S841" s="64"/>
    </row>
    <row r="842" ht="15.75" customHeight="1">
      <c r="F842" s="64"/>
      <c r="I842" s="65"/>
      <c r="J842" s="66"/>
      <c r="K842" s="67"/>
      <c r="L842" s="68"/>
      <c r="M842" s="69"/>
      <c r="N842" s="70"/>
      <c r="O842" s="71"/>
      <c r="P842" s="72"/>
      <c r="Q842" s="73"/>
      <c r="S842" s="64"/>
    </row>
    <row r="843" ht="15.75" customHeight="1">
      <c r="F843" s="64"/>
      <c r="I843" s="65"/>
      <c r="J843" s="66"/>
      <c r="K843" s="67"/>
      <c r="L843" s="68"/>
      <c r="M843" s="69"/>
      <c r="N843" s="70"/>
      <c r="O843" s="71"/>
      <c r="P843" s="72"/>
      <c r="Q843" s="73"/>
      <c r="S843" s="64"/>
    </row>
    <row r="844" ht="15.75" customHeight="1">
      <c r="F844" s="64"/>
      <c r="I844" s="65"/>
      <c r="J844" s="66"/>
      <c r="K844" s="67"/>
      <c r="L844" s="68"/>
      <c r="M844" s="69"/>
      <c r="N844" s="70"/>
      <c r="O844" s="71"/>
      <c r="P844" s="72"/>
      <c r="Q844" s="73"/>
      <c r="S844" s="64"/>
    </row>
    <row r="845" ht="15.75" customHeight="1">
      <c r="F845" s="64"/>
      <c r="I845" s="65"/>
      <c r="J845" s="66"/>
      <c r="K845" s="67"/>
      <c r="L845" s="68"/>
      <c r="M845" s="69"/>
      <c r="N845" s="70"/>
      <c r="O845" s="71"/>
      <c r="P845" s="72"/>
      <c r="Q845" s="73"/>
      <c r="S845" s="64"/>
    </row>
    <row r="846" ht="15.75" customHeight="1">
      <c r="F846" s="64"/>
      <c r="I846" s="65"/>
      <c r="J846" s="66"/>
      <c r="K846" s="67"/>
      <c r="L846" s="68"/>
      <c r="M846" s="69"/>
      <c r="N846" s="70"/>
      <c r="O846" s="71"/>
      <c r="P846" s="72"/>
      <c r="Q846" s="73"/>
      <c r="S846" s="64"/>
    </row>
    <row r="847" ht="15.75" customHeight="1">
      <c r="F847" s="64"/>
      <c r="I847" s="65"/>
      <c r="J847" s="66"/>
      <c r="K847" s="67"/>
      <c r="L847" s="68"/>
      <c r="M847" s="69"/>
      <c r="N847" s="70"/>
      <c r="O847" s="71"/>
      <c r="P847" s="72"/>
      <c r="Q847" s="73"/>
      <c r="S847" s="64"/>
    </row>
    <row r="848" ht="15.75" customHeight="1">
      <c r="F848" s="64"/>
      <c r="I848" s="65"/>
      <c r="J848" s="66"/>
      <c r="K848" s="67"/>
      <c r="L848" s="68"/>
      <c r="M848" s="69"/>
      <c r="N848" s="70"/>
      <c r="O848" s="71"/>
      <c r="P848" s="72"/>
      <c r="Q848" s="73"/>
      <c r="S848" s="64"/>
    </row>
    <row r="849" ht="15.75" customHeight="1">
      <c r="F849" s="64"/>
      <c r="I849" s="65"/>
      <c r="J849" s="66"/>
      <c r="K849" s="67"/>
      <c r="L849" s="68"/>
      <c r="M849" s="69"/>
      <c r="N849" s="70"/>
      <c r="O849" s="71"/>
      <c r="P849" s="72"/>
      <c r="Q849" s="73"/>
      <c r="S849" s="64"/>
    </row>
    <row r="850" ht="15.75" customHeight="1">
      <c r="F850" s="64"/>
      <c r="I850" s="65"/>
      <c r="J850" s="66"/>
      <c r="K850" s="67"/>
      <c r="L850" s="68"/>
      <c r="M850" s="69"/>
      <c r="N850" s="70"/>
      <c r="O850" s="71"/>
      <c r="P850" s="72"/>
      <c r="Q850" s="73"/>
      <c r="S850" s="64"/>
    </row>
    <row r="851" ht="15.75" customHeight="1">
      <c r="F851" s="64"/>
      <c r="I851" s="65"/>
      <c r="J851" s="66"/>
      <c r="K851" s="67"/>
      <c r="L851" s="68"/>
      <c r="M851" s="69"/>
      <c r="N851" s="70"/>
      <c r="O851" s="71"/>
      <c r="P851" s="72"/>
      <c r="Q851" s="73"/>
      <c r="S851" s="64"/>
    </row>
    <row r="852" ht="15.75" customHeight="1">
      <c r="F852" s="64"/>
      <c r="I852" s="65"/>
      <c r="J852" s="66"/>
      <c r="K852" s="67"/>
      <c r="L852" s="68"/>
      <c r="M852" s="69"/>
      <c r="N852" s="70"/>
      <c r="O852" s="71"/>
      <c r="P852" s="72"/>
      <c r="Q852" s="73"/>
      <c r="S852" s="64"/>
    </row>
    <row r="853" ht="15.75" customHeight="1">
      <c r="F853" s="64"/>
      <c r="I853" s="65"/>
      <c r="J853" s="66"/>
      <c r="K853" s="67"/>
      <c r="L853" s="68"/>
      <c r="M853" s="69"/>
      <c r="N853" s="70"/>
      <c r="O853" s="71"/>
      <c r="P853" s="72"/>
      <c r="Q853" s="73"/>
      <c r="S853" s="64"/>
    </row>
    <row r="854" ht="15.75" customHeight="1">
      <c r="F854" s="64"/>
      <c r="I854" s="65"/>
      <c r="J854" s="66"/>
      <c r="K854" s="67"/>
      <c r="L854" s="68"/>
      <c r="M854" s="69"/>
      <c r="N854" s="70"/>
      <c r="O854" s="71"/>
      <c r="P854" s="72"/>
      <c r="Q854" s="73"/>
      <c r="S854" s="64"/>
    </row>
    <row r="855" ht="15.75" customHeight="1">
      <c r="F855" s="64"/>
      <c r="I855" s="65"/>
      <c r="J855" s="66"/>
      <c r="K855" s="67"/>
      <c r="L855" s="68"/>
      <c r="M855" s="69"/>
      <c r="N855" s="70"/>
      <c r="O855" s="71"/>
      <c r="P855" s="72"/>
      <c r="Q855" s="73"/>
      <c r="S855" s="64"/>
    </row>
    <row r="856" ht="15.75" customHeight="1">
      <c r="F856" s="64"/>
      <c r="I856" s="65"/>
      <c r="J856" s="66"/>
      <c r="K856" s="67"/>
      <c r="L856" s="68"/>
      <c r="M856" s="69"/>
      <c r="N856" s="70"/>
      <c r="O856" s="71"/>
      <c r="P856" s="72"/>
      <c r="Q856" s="73"/>
      <c r="S856" s="64"/>
    </row>
    <row r="857" ht="15.75" customHeight="1">
      <c r="F857" s="64"/>
      <c r="I857" s="65"/>
      <c r="J857" s="66"/>
      <c r="K857" s="67"/>
      <c r="L857" s="68"/>
      <c r="M857" s="69"/>
      <c r="N857" s="70"/>
      <c r="O857" s="71"/>
      <c r="P857" s="72"/>
      <c r="Q857" s="73"/>
      <c r="S857" s="64"/>
    </row>
    <row r="858" ht="15.75" customHeight="1">
      <c r="F858" s="64"/>
      <c r="I858" s="65"/>
      <c r="J858" s="66"/>
      <c r="K858" s="67"/>
      <c r="L858" s="68"/>
      <c r="M858" s="69"/>
      <c r="N858" s="70"/>
      <c r="O858" s="71"/>
      <c r="P858" s="72"/>
      <c r="Q858" s="73"/>
      <c r="S858" s="64"/>
    </row>
    <row r="859" ht="15.75" customHeight="1">
      <c r="F859" s="64"/>
      <c r="I859" s="65"/>
      <c r="J859" s="66"/>
      <c r="K859" s="67"/>
      <c r="L859" s="68"/>
      <c r="M859" s="69"/>
      <c r="N859" s="70"/>
      <c r="O859" s="71"/>
      <c r="P859" s="72"/>
      <c r="Q859" s="73"/>
      <c r="S859" s="64"/>
    </row>
    <row r="860" ht="15.75" customHeight="1">
      <c r="F860" s="64"/>
      <c r="I860" s="65"/>
      <c r="J860" s="66"/>
      <c r="K860" s="67"/>
      <c r="L860" s="68"/>
      <c r="M860" s="69"/>
      <c r="N860" s="70"/>
      <c r="O860" s="71"/>
      <c r="P860" s="72"/>
      <c r="Q860" s="73"/>
      <c r="S860" s="64"/>
    </row>
    <row r="861" ht="15.75" customHeight="1">
      <c r="F861" s="64"/>
      <c r="I861" s="65"/>
      <c r="J861" s="66"/>
      <c r="K861" s="67"/>
      <c r="L861" s="68"/>
      <c r="M861" s="69"/>
      <c r="N861" s="70"/>
      <c r="O861" s="71"/>
      <c r="P861" s="72"/>
      <c r="Q861" s="73"/>
      <c r="S861" s="64"/>
    </row>
    <row r="862" ht="15.75" customHeight="1">
      <c r="F862" s="64"/>
      <c r="I862" s="65"/>
      <c r="J862" s="66"/>
      <c r="K862" s="67"/>
      <c r="L862" s="68"/>
      <c r="M862" s="69"/>
      <c r="N862" s="70"/>
      <c r="O862" s="71"/>
      <c r="P862" s="72"/>
      <c r="Q862" s="73"/>
      <c r="S862" s="64"/>
    </row>
    <row r="863" ht="15.75" customHeight="1">
      <c r="F863" s="64"/>
      <c r="I863" s="65"/>
      <c r="J863" s="66"/>
      <c r="K863" s="67"/>
      <c r="L863" s="68"/>
      <c r="M863" s="69"/>
      <c r="N863" s="70"/>
      <c r="O863" s="71"/>
      <c r="P863" s="72"/>
      <c r="Q863" s="73"/>
      <c r="S863" s="64"/>
    </row>
    <row r="864" ht="15.75" customHeight="1">
      <c r="F864" s="64"/>
      <c r="I864" s="65"/>
      <c r="J864" s="66"/>
      <c r="K864" s="67"/>
      <c r="L864" s="68"/>
      <c r="M864" s="69"/>
      <c r="N864" s="70"/>
      <c r="O864" s="71"/>
      <c r="P864" s="72"/>
      <c r="Q864" s="73"/>
      <c r="S864" s="64"/>
    </row>
    <row r="865" ht="15.75" customHeight="1">
      <c r="F865" s="64"/>
      <c r="I865" s="65"/>
      <c r="J865" s="66"/>
      <c r="K865" s="67"/>
      <c r="L865" s="68"/>
      <c r="M865" s="69"/>
      <c r="N865" s="70"/>
      <c r="O865" s="71"/>
      <c r="P865" s="72"/>
      <c r="Q865" s="73"/>
      <c r="S865" s="64"/>
    </row>
    <row r="866" ht="15.75" customHeight="1">
      <c r="F866" s="64"/>
      <c r="I866" s="65"/>
      <c r="J866" s="66"/>
      <c r="K866" s="67"/>
      <c r="L866" s="68"/>
      <c r="M866" s="69"/>
      <c r="N866" s="70"/>
      <c r="O866" s="71"/>
      <c r="P866" s="72"/>
      <c r="Q866" s="73"/>
      <c r="S866" s="64"/>
    </row>
    <row r="867" ht="15.75" customHeight="1">
      <c r="F867" s="64"/>
      <c r="I867" s="65"/>
      <c r="J867" s="66"/>
      <c r="K867" s="67"/>
      <c r="L867" s="68"/>
      <c r="M867" s="69"/>
      <c r="N867" s="70"/>
      <c r="O867" s="71"/>
      <c r="P867" s="72"/>
      <c r="Q867" s="73"/>
      <c r="S867" s="64"/>
    </row>
    <row r="868" ht="15.75" customHeight="1">
      <c r="F868" s="64"/>
      <c r="I868" s="65"/>
      <c r="J868" s="66"/>
      <c r="K868" s="67"/>
      <c r="L868" s="68"/>
      <c r="M868" s="69"/>
      <c r="N868" s="70"/>
      <c r="O868" s="71"/>
      <c r="P868" s="72"/>
      <c r="Q868" s="73"/>
      <c r="S868" s="64"/>
    </row>
    <row r="869" ht="15.75" customHeight="1">
      <c r="F869" s="64"/>
      <c r="I869" s="65"/>
      <c r="J869" s="66"/>
      <c r="K869" s="67"/>
      <c r="L869" s="68"/>
      <c r="M869" s="69"/>
      <c r="N869" s="70"/>
      <c r="O869" s="71"/>
      <c r="P869" s="72"/>
      <c r="Q869" s="73"/>
      <c r="S869" s="64"/>
    </row>
    <row r="870" ht="15.75" customHeight="1">
      <c r="F870" s="64"/>
      <c r="I870" s="65"/>
      <c r="J870" s="66"/>
      <c r="K870" s="67"/>
      <c r="L870" s="68"/>
      <c r="M870" s="69"/>
      <c r="N870" s="70"/>
      <c r="O870" s="71"/>
      <c r="P870" s="72"/>
      <c r="Q870" s="73"/>
      <c r="S870" s="64"/>
    </row>
    <row r="871" ht="15.75" customHeight="1">
      <c r="F871" s="64"/>
      <c r="I871" s="65"/>
      <c r="J871" s="66"/>
      <c r="K871" s="67"/>
      <c r="L871" s="68"/>
      <c r="M871" s="69"/>
      <c r="N871" s="70"/>
      <c r="O871" s="71"/>
      <c r="P871" s="72"/>
      <c r="Q871" s="73"/>
      <c r="S871" s="64"/>
    </row>
    <row r="872" ht="15.75" customHeight="1">
      <c r="F872" s="64"/>
      <c r="I872" s="65"/>
      <c r="J872" s="66"/>
      <c r="K872" s="67"/>
      <c r="L872" s="68"/>
      <c r="M872" s="69"/>
      <c r="N872" s="70"/>
      <c r="O872" s="71"/>
      <c r="P872" s="72"/>
      <c r="Q872" s="73"/>
      <c r="S872" s="64"/>
    </row>
    <row r="873" ht="15.75" customHeight="1">
      <c r="F873" s="64"/>
      <c r="I873" s="65"/>
      <c r="J873" s="66"/>
      <c r="K873" s="67"/>
      <c r="L873" s="68"/>
      <c r="M873" s="69"/>
      <c r="N873" s="70"/>
      <c r="O873" s="71"/>
      <c r="P873" s="72"/>
      <c r="Q873" s="73"/>
      <c r="S873" s="64"/>
    </row>
    <row r="874" ht="15.75" customHeight="1">
      <c r="F874" s="64"/>
      <c r="I874" s="65"/>
      <c r="J874" s="66"/>
      <c r="K874" s="67"/>
      <c r="L874" s="68"/>
      <c r="M874" s="69"/>
      <c r="N874" s="70"/>
      <c r="O874" s="71"/>
      <c r="P874" s="72"/>
      <c r="Q874" s="73"/>
      <c r="S874" s="64"/>
    </row>
    <row r="875" ht="15.75" customHeight="1">
      <c r="F875" s="64"/>
      <c r="I875" s="65"/>
      <c r="J875" s="66"/>
      <c r="K875" s="67"/>
      <c r="L875" s="68"/>
      <c r="M875" s="69"/>
      <c r="N875" s="70"/>
      <c r="O875" s="71"/>
      <c r="P875" s="72"/>
      <c r="Q875" s="73"/>
      <c r="S875" s="64"/>
    </row>
    <row r="876" ht="15.75" customHeight="1">
      <c r="F876" s="64"/>
      <c r="I876" s="65"/>
      <c r="J876" s="66"/>
      <c r="K876" s="67"/>
      <c r="L876" s="68"/>
      <c r="M876" s="69"/>
      <c r="N876" s="70"/>
      <c r="O876" s="71"/>
      <c r="P876" s="72"/>
      <c r="Q876" s="73"/>
      <c r="S876" s="64"/>
    </row>
    <row r="877" ht="15.75" customHeight="1">
      <c r="F877" s="64"/>
      <c r="I877" s="65"/>
      <c r="J877" s="66"/>
      <c r="K877" s="67"/>
      <c r="L877" s="68"/>
      <c r="M877" s="69"/>
      <c r="N877" s="70"/>
      <c r="O877" s="71"/>
      <c r="P877" s="72"/>
      <c r="Q877" s="73"/>
      <c r="S877" s="64"/>
    </row>
    <row r="878" ht="15.75" customHeight="1">
      <c r="F878" s="64"/>
      <c r="I878" s="65"/>
      <c r="J878" s="66"/>
      <c r="K878" s="67"/>
      <c r="L878" s="68"/>
      <c r="M878" s="69"/>
      <c r="N878" s="70"/>
      <c r="O878" s="71"/>
      <c r="P878" s="72"/>
      <c r="Q878" s="73"/>
      <c r="S878" s="64"/>
    </row>
    <row r="879" ht="15.75" customHeight="1">
      <c r="F879" s="64"/>
      <c r="I879" s="65"/>
      <c r="J879" s="66"/>
      <c r="K879" s="67"/>
      <c r="L879" s="68"/>
      <c r="M879" s="69"/>
      <c r="N879" s="70"/>
      <c r="O879" s="71"/>
      <c r="P879" s="72"/>
      <c r="Q879" s="73"/>
      <c r="S879" s="64"/>
    </row>
    <row r="880" ht="15.75" customHeight="1">
      <c r="F880" s="64"/>
      <c r="I880" s="65"/>
      <c r="J880" s="66"/>
      <c r="K880" s="67"/>
      <c r="L880" s="68"/>
      <c r="M880" s="69"/>
      <c r="N880" s="70"/>
      <c r="O880" s="71"/>
      <c r="P880" s="72"/>
      <c r="Q880" s="73"/>
      <c r="S880" s="64"/>
    </row>
    <row r="881" ht="15.75" customHeight="1">
      <c r="F881" s="64"/>
      <c r="I881" s="65"/>
      <c r="J881" s="66"/>
      <c r="K881" s="67"/>
      <c r="L881" s="68"/>
      <c r="M881" s="69"/>
      <c r="N881" s="70"/>
      <c r="O881" s="71"/>
      <c r="P881" s="72"/>
      <c r="Q881" s="73"/>
      <c r="S881" s="64"/>
    </row>
    <row r="882" ht="15.75" customHeight="1">
      <c r="F882" s="64"/>
      <c r="I882" s="65"/>
      <c r="J882" s="66"/>
      <c r="K882" s="67"/>
      <c r="L882" s="68"/>
      <c r="M882" s="69"/>
      <c r="N882" s="70"/>
      <c r="O882" s="71"/>
      <c r="P882" s="72"/>
      <c r="Q882" s="73"/>
      <c r="S882" s="64"/>
    </row>
    <row r="883" ht="15.75" customHeight="1">
      <c r="F883" s="64"/>
      <c r="I883" s="65"/>
      <c r="J883" s="66"/>
      <c r="K883" s="67"/>
      <c r="L883" s="68"/>
      <c r="M883" s="69"/>
      <c r="N883" s="70"/>
      <c r="O883" s="71"/>
      <c r="P883" s="72"/>
      <c r="Q883" s="73"/>
      <c r="S883" s="64"/>
    </row>
    <row r="884" ht="15.75" customHeight="1">
      <c r="F884" s="64"/>
      <c r="I884" s="65"/>
      <c r="J884" s="66"/>
      <c r="K884" s="67"/>
      <c r="L884" s="68"/>
      <c r="M884" s="69"/>
      <c r="N884" s="70"/>
      <c r="O884" s="71"/>
      <c r="P884" s="72"/>
      <c r="Q884" s="73"/>
      <c r="S884" s="64"/>
    </row>
    <row r="885" ht="15.75" customHeight="1">
      <c r="F885" s="64"/>
      <c r="I885" s="65"/>
      <c r="J885" s="66"/>
      <c r="K885" s="67"/>
      <c r="L885" s="68"/>
      <c r="M885" s="69"/>
      <c r="N885" s="70"/>
      <c r="O885" s="71"/>
      <c r="P885" s="72"/>
      <c r="Q885" s="73"/>
      <c r="S885" s="64"/>
    </row>
    <row r="886" ht="15.75" customHeight="1">
      <c r="F886" s="64"/>
      <c r="I886" s="65"/>
      <c r="J886" s="66"/>
      <c r="K886" s="67"/>
      <c r="L886" s="68"/>
      <c r="M886" s="69"/>
      <c r="N886" s="70"/>
      <c r="O886" s="71"/>
      <c r="P886" s="72"/>
      <c r="Q886" s="73"/>
      <c r="S886" s="64"/>
    </row>
    <row r="887" ht="15.75" customHeight="1">
      <c r="F887" s="64"/>
      <c r="I887" s="65"/>
      <c r="J887" s="66"/>
      <c r="K887" s="67"/>
      <c r="L887" s="68"/>
      <c r="M887" s="69"/>
      <c r="N887" s="70"/>
      <c r="O887" s="71"/>
      <c r="P887" s="72"/>
      <c r="Q887" s="73"/>
      <c r="S887" s="64"/>
    </row>
    <row r="888" ht="15.75" customHeight="1">
      <c r="F888" s="64"/>
      <c r="I888" s="65"/>
      <c r="J888" s="66"/>
      <c r="K888" s="67"/>
      <c r="L888" s="68"/>
      <c r="M888" s="69"/>
      <c r="N888" s="70"/>
      <c r="O888" s="71"/>
      <c r="P888" s="72"/>
      <c r="Q888" s="73"/>
      <c r="S888" s="64"/>
    </row>
    <row r="889" ht="15.75" customHeight="1">
      <c r="F889" s="64"/>
      <c r="I889" s="65"/>
      <c r="J889" s="66"/>
      <c r="K889" s="67"/>
      <c r="L889" s="68"/>
      <c r="M889" s="69"/>
      <c r="N889" s="70"/>
      <c r="O889" s="71"/>
      <c r="P889" s="72"/>
      <c r="Q889" s="73"/>
      <c r="S889" s="64"/>
    </row>
    <row r="890" ht="15.75" customHeight="1">
      <c r="F890" s="64"/>
      <c r="I890" s="65"/>
      <c r="J890" s="66"/>
      <c r="K890" s="67"/>
      <c r="L890" s="68"/>
      <c r="M890" s="69"/>
      <c r="N890" s="70"/>
      <c r="O890" s="71"/>
      <c r="P890" s="72"/>
      <c r="Q890" s="73"/>
      <c r="S890" s="64"/>
    </row>
    <row r="891" ht="15.75" customHeight="1">
      <c r="F891" s="64"/>
      <c r="I891" s="65"/>
      <c r="J891" s="66"/>
      <c r="K891" s="67"/>
      <c r="L891" s="68"/>
      <c r="M891" s="69"/>
      <c r="N891" s="70"/>
      <c r="O891" s="71"/>
      <c r="P891" s="72"/>
      <c r="Q891" s="73"/>
      <c r="S891" s="64"/>
    </row>
    <row r="892" ht="15.75" customHeight="1">
      <c r="F892" s="64"/>
      <c r="I892" s="65"/>
      <c r="J892" s="66"/>
      <c r="K892" s="67"/>
      <c r="L892" s="68"/>
      <c r="M892" s="69"/>
      <c r="N892" s="70"/>
      <c r="O892" s="71"/>
      <c r="P892" s="72"/>
      <c r="Q892" s="73"/>
      <c r="S892" s="64"/>
    </row>
    <row r="893" ht="15.75" customHeight="1">
      <c r="F893" s="64"/>
      <c r="I893" s="65"/>
      <c r="J893" s="66"/>
      <c r="K893" s="67"/>
      <c r="L893" s="68"/>
      <c r="M893" s="69"/>
      <c r="N893" s="70"/>
      <c r="O893" s="71"/>
      <c r="P893" s="72"/>
      <c r="Q893" s="73"/>
      <c r="S893" s="64"/>
    </row>
    <row r="894" ht="15.75" customHeight="1">
      <c r="F894" s="64"/>
      <c r="I894" s="65"/>
      <c r="J894" s="66"/>
      <c r="K894" s="67"/>
      <c r="L894" s="68"/>
      <c r="M894" s="69"/>
      <c r="N894" s="70"/>
      <c r="O894" s="71"/>
      <c r="P894" s="72"/>
      <c r="Q894" s="73"/>
      <c r="S894" s="64"/>
    </row>
    <row r="895" ht="15.75" customHeight="1">
      <c r="F895" s="64"/>
      <c r="I895" s="65"/>
      <c r="J895" s="66"/>
      <c r="K895" s="67"/>
      <c r="L895" s="68"/>
      <c r="M895" s="69"/>
      <c r="N895" s="70"/>
      <c r="O895" s="71"/>
      <c r="P895" s="72"/>
      <c r="Q895" s="73"/>
      <c r="S895" s="64"/>
    </row>
    <row r="896" ht="15.75" customHeight="1">
      <c r="F896" s="64"/>
      <c r="I896" s="65"/>
      <c r="J896" s="66"/>
      <c r="K896" s="67"/>
      <c r="L896" s="68"/>
      <c r="M896" s="69"/>
      <c r="N896" s="70"/>
      <c r="O896" s="71"/>
      <c r="P896" s="72"/>
      <c r="Q896" s="73"/>
      <c r="S896" s="64"/>
    </row>
    <row r="897" ht="15.75" customHeight="1">
      <c r="F897" s="64"/>
      <c r="I897" s="65"/>
      <c r="J897" s="66"/>
      <c r="K897" s="67"/>
      <c r="L897" s="68"/>
      <c r="M897" s="69"/>
      <c r="N897" s="70"/>
      <c r="O897" s="71"/>
      <c r="P897" s="72"/>
      <c r="Q897" s="73"/>
      <c r="S897" s="64"/>
    </row>
    <row r="898" ht="15.75" customHeight="1">
      <c r="F898" s="64"/>
      <c r="I898" s="65"/>
      <c r="J898" s="66"/>
      <c r="K898" s="67"/>
      <c r="L898" s="68"/>
      <c r="M898" s="69"/>
      <c r="N898" s="70"/>
      <c r="O898" s="71"/>
      <c r="P898" s="72"/>
      <c r="Q898" s="73"/>
      <c r="S898" s="64"/>
    </row>
    <row r="899" ht="15.75" customHeight="1">
      <c r="F899" s="64"/>
      <c r="I899" s="65"/>
      <c r="J899" s="66"/>
      <c r="K899" s="67"/>
      <c r="L899" s="68"/>
      <c r="M899" s="69"/>
      <c r="N899" s="70"/>
      <c r="O899" s="71"/>
      <c r="P899" s="72"/>
      <c r="Q899" s="73"/>
      <c r="S899" s="64"/>
    </row>
    <row r="900" ht="15.75" customHeight="1">
      <c r="F900" s="64"/>
      <c r="I900" s="65"/>
      <c r="J900" s="66"/>
      <c r="K900" s="67"/>
      <c r="L900" s="68"/>
      <c r="M900" s="69"/>
      <c r="N900" s="70"/>
      <c r="O900" s="71"/>
      <c r="P900" s="72"/>
      <c r="Q900" s="73"/>
      <c r="S900" s="64"/>
    </row>
    <row r="901" ht="15.75" customHeight="1">
      <c r="F901" s="64"/>
      <c r="I901" s="65"/>
      <c r="J901" s="66"/>
      <c r="K901" s="67"/>
      <c r="L901" s="68"/>
      <c r="M901" s="69"/>
      <c r="N901" s="70"/>
      <c r="O901" s="71"/>
      <c r="P901" s="72"/>
      <c r="Q901" s="73"/>
      <c r="S901" s="64"/>
    </row>
    <row r="902" ht="15.75" customHeight="1">
      <c r="F902" s="64"/>
      <c r="I902" s="65"/>
      <c r="J902" s="66"/>
      <c r="K902" s="67"/>
      <c r="L902" s="68"/>
      <c r="M902" s="69"/>
      <c r="N902" s="70"/>
      <c r="O902" s="71"/>
      <c r="P902" s="72"/>
      <c r="Q902" s="73"/>
      <c r="S902" s="64"/>
    </row>
    <row r="903" ht="15.75" customHeight="1">
      <c r="F903" s="64"/>
      <c r="I903" s="65"/>
      <c r="J903" s="66"/>
      <c r="K903" s="67"/>
      <c r="L903" s="68"/>
      <c r="M903" s="69"/>
      <c r="N903" s="70"/>
      <c r="O903" s="71"/>
      <c r="P903" s="72"/>
      <c r="Q903" s="73"/>
      <c r="S903" s="64"/>
    </row>
    <row r="904" ht="15.75" customHeight="1">
      <c r="F904" s="64"/>
      <c r="I904" s="65"/>
      <c r="J904" s="66"/>
      <c r="K904" s="67"/>
      <c r="L904" s="68"/>
      <c r="M904" s="69"/>
      <c r="N904" s="70"/>
      <c r="O904" s="71"/>
      <c r="P904" s="72"/>
      <c r="Q904" s="73"/>
      <c r="S904" s="64"/>
    </row>
    <row r="905" ht="15.75" customHeight="1">
      <c r="F905" s="64"/>
      <c r="I905" s="65"/>
      <c r="J905" s="66"/>
      <c r="K905" s="67"/>
      <c r="L905" s="68"/>
      <c r="M905" s="69"/>
      <c r="N905" s="70"/>
      <c r="O905" s="71"/>
      <c r="P905" s="72"/>
      <c r="Q905" s="73"/>
      <c r="S905" s="64"/>
    </row>
    <row r="906" ht="15.75" customHeight="1">
      <c r="F906" s="64"/>
      <c r="I906" s="65"/>
      <c r="J906" s="66"/>
      <c r="K906" s="67"/>
      <c r="L906" s="68"/>
      <c r="M906" s="69"/>
      <c r="N906" s="70"/>
      <c r="O906" s="71"/>
      <c r="P906" s="72"/>
      <c r="Q906" s="73"/>
      <c r="S906" s="64"/>
    </row>
    <row r="907" ht="15.75" customHeight="1">
      <c r="F907" s="64"/>
      <c r="I907" s="65"/>
      <c r="J907" s="66"/>
      <c r="K907" s="67"/>
      <c r="L907" s="68"/>
      <c r="M907" s="69"/>
      <c r="N907" s="70"/>
      <c r="O907" s="71"/>
      <c r="P907" s="72"/>
      <c r="Q907" s="73"/>
      <c r="S907" s="64"/>
    </row>
    <row r="908" ht="15.75" customHeight="1">
      <c r="F908" s="64"/>
      <c r="I908" s="65"/>
      <c r="J908" s="66"/>
      <c r="K908" s="67"/>
      <c r="L908" s="68"/>
      <c r="M908" s="69"/>
      <c r="N908" s="70"/>
      <c r="O908" s="71"/>
      <c r="P908" s="72"/>
      <c r="Q908" s="73"/>
      <c r="S908" s="64"/>
    </row>
    <row r="909" ht="15.75" customHeight="1">
      <c r="F909" s="64"/>
      <c r="I909" s="65"/>
      <c r="J909" s="66"/>
      <c r="K909" s="67"/>
      <c r="L909" s="68"/>
      <c r="M909" s="69"/>
      <c r="N909" s="70"/>
      <c r="O909" s="71"/>
      <c r="P909" s="72"/>
      <c r="Q909" s="73"/>
      <c r="S909" s="64"/>
    </row>
    <row r="910" ht="15.75" customHeight="1">
      <c r="F910" s="64"/>
      <c r="I910" s="65"/>
      <c r="J910" s="66"/>
      <c r="K910" s="67"/>
      <c r="L910" s="68"/>
      <c r="M910" s="69"/>
      <c r="N910" s="70"/>
      <c r="O910" s="71"/>
      <c r="P910" s="72"/>
      <c r="Q910" s="73"/>
      <c r="S910" s="64"/>
    </row>
    <row r="911" ht="15.75" customHeight="1">
      <c r="F911" s="64"/>
      <c r="I911" s="65"/>
      <c r="J911" s="66"/>
      <c r="K911" s="67"/>
      <c r="L911" s="68"/>
      <c r="M911" s="69"/>
      <c r="N911" s="70"/>
      <c r="O911" s="71"/>
      <c r="P911" s="72"/>
      <c r="Q911" s="73"/>
      <c r="S911" s="64"/>
    </row>
    <row r="912" ht="15.75" customHeight="1">
      <c r="F912" s="64"/>
      <c r="I912" s="65"/>
      <c r="J912" s="66"/>
      <c r="K912" s="67"/>
      <c r="L912" s="68"/>
      <c r="M912" s="69"/>
      <c r="N912" s="70"/>
      <c r="O912" s="71"/>
      <c r="P912" s="72"/>
      <c r="Q912" s="73"/>
      <c r="S912" s="64"/>
    </row>
    <row r="913" ht="15.75" customHeight="1">
      <c r="F913" s="64"/>
      <c r="I913" s="65"/>
      <c r="J913" s="66"/>
      <c r="K913" s="67"/>
      <c r="L913" s="68"/>
      <c r="M913" s="69"/>
      <c r="N913" s="70"/>
      <c r="O913" s="71"/>
      <c r="P913" s="72"/>
      <c r="Q913" s="73"/>
      <c r="S913" s="64"/>
    </row>
    <row r="914" ht="15.75" customHeight="1">
      <c r="F914" s="64"/>
      <c r="I914" s="65"/>
      <c r="J914" s="66"/>
      <c r="K914" s="67"/>
      <c r="L914" s="68"/>
      <c r="M914" s="69"/>
      <c r="N914" s="70"/>
      <c r="O914" s="71"/>
      <c r="P914" s="72"/>
      <c r="Q914" s="73"/>
      <c r="S914" s="64"/>
    </row>
    <row r="915" ht="15.75" customHeight="1">
      <c r="F915" s="64"/>
      <c r="I915" s="65"/>
      <c r="J915" s="66"/>
      <c r="K915" s="67"/>
      <c r="L915" s="68"/>
      <c r="M915" s="69"/>
      <c r="N915" s="70"/>
      <c r="O915" s="71"/>
      <c r="P915" s="72"/>
      <c r="Q915" s="73"/>
      <c r="S915" s="64"/>
    </row>
    <row r="916" ht="15.75" customHeight="1">
      <c r="F916" s="64"/>
      <c r="I916" s="65"/>
      <c r="J916" s="66"/>
      <c r="K916" s="67"/>
      <c r="L916" s="68"/>
      <c r="M916" s="69"/>
      <c r="N916" s="70"/>
      <c r="O916" s="71"/>
      <c r="P916" s="72"/>
      <c r="Q916" s="73"/>
      <c r="S916" s="64"/>
    </row>
    <row r="917" ht="15.75" customHeight="1">
      <c r="F917" s="64"/>
      <c r="I917" s="65"/>
      <c r="J917" s="66"/>
      <c r="K917" s="67"/>
      <c r="L917" s="68"/>
      <c r="M917" s="69"/>
      <c r="N917" s="70"/>
      <c r="O917" s="71"/>
      <c r="P917" s="72"/>
      <c r="Q917" s="73"/>
      <c r="S917" s="64"/>
    </row>
    <row r="918" ht="15.75" customHeight="1">
      <c r="F918" s="64"/>
      <c r="I918" s="65"/>
      <c r="J918" s="66"/>
      <c r="K918" s="67"/>
      <c r="L918" s="68"/>
      <c r="M918" s="69"/>
      <c r="N918" s="70"/>
      <c r="O918" s="71"/>
      <c r="P918" s="72"/>
      <c r="Q918" s="73"/>
      <c r="S918" s="64"/>
    </row>
    <row r="919" ht="15.75" customHeight="1">
      <c r="F919" s="64"/>
      <c r="I919" s="65"/>
      <c r="J919" s="66"/>
      <c r="K919" s="67"/>
      <c r="L919" s="68"/>
      <c r="M919" s="69"/>
      <c r="N919" s="70"/>
      <c r="O919" s="71"/>
      <c r="P919" s="72"/>
      <c r="Q919" s="73"/>
      <c r="S919" s="64"/>
    </row>
    <row r="920" ht="15.75" customHeight="1">
      <c r="F920" s="64"/>
      <c r="I920" s="65"/>
      <c r="J920" s="66"/>
      <c r="K920" s="67"/>
      <c r="L920" s="68"/>
      <c r="M920" s="69"/>
      <c r="N920" s="70"/>
      <c r="O920" s="71"/>
      <c r="P920" s="72"/>
      <c r="Q920" s="73"/>
      <c r="S920" s="64"/>
    </row>
    <row r="921" ht="15.75" customHeight="1">
      <c r="F921" s="64"/>
      <c r="I921" s="65"/>
      <c r="J921" s="66"/>
      <c r="K921" s="67"/>
      <c r="L921" s="68"/>
      <c r="M921" s="69"/>
      <c r="N921" s="70"/>
      <c r="O921" s="71"/>
      <c r="P921" s="72"/>
      <c r="Q921" s="73"/>
      <c r="S921" s="64"/>
    </row>
    <row r="922" ht="15.75" customHeight="1">
      <c r="F922" s="64"/>
      <c r="I922" s="65"/>
      <c r="J922" s="66"/>
      <c r="K922" s="67"/>
      <c r="L922" s="68"/>
      <c r="M922" s="69"/>
      <c r="N922" s="70"/>
      <c r="O922" s="71"/>
      <c r="P922" s="72"/>
      <c r="Q922" s="73"/>
      <c r="S922" s="64"/>
    </row>
    <row r="923" ht="15.75" customHeight="1">
      <c r="F923" s="64"/>
      <c r="I923" s="65"/>
      <c r="J923" s="66"/>
      <c r="K923" s="67"/>
      <c r="L923" s="68"/>
      <c r="M923" s="69"/>
      <c r="N923" s="70"/>
      <c r="O923" s="71"/>
      <c r="P923" s="72"/>
      <c r="Q923" s="73"/>
      <c r="S923" s="64"/>
    </row>
    <row r="924" ht="15.75" customHeight="1">
      <c r="F924" s="64"/>
      <c r="I924" s="65"/>
      <c r="J924" s="66"/>
      <c r="K924" s="67"/>
      <c r="L924" s="68"/>
      <c r="M924" s="69"/>
      <c r="N924" s="70"/>
      <c r="O924" s="71"/>
      <c r="P924" s="72"/>
      <c r="Q924" s="73"/>
      <c r="S924" s="64"/>
    </row>
    <row r="925" ht="15.75" customHeight="1">
      <c r="F925" s="64"/>
      <c r="I925" s="65"/>
      <c r="J925" s="66"/>
      <c r="K925" s="67"/>
      <c r="L925" s="68"/>
      <c r="M925" s="69"/>
      <c r="N925" s="70"/>
      <c r="O925" s="71"/>
      <c r="P925" s="72"/>
      <c r="Q925" s="73"/>
      <c r="S925" s="64"/>
    </row>
    <row r="926" ht="15.75" customHeight="1">
      <c r="F926" s="64"/>
      <c r="I926" s="65"/>
      <c r="J926" s="66"/>
      <c r="K926" s="67"/>
      <c r="L926" s="68"/>
      <c r="M926" s="69"/>
      <c r="N926" s="70"/>
      <c r="O926" s="71"/>
      <c r="P926" s="72"/>
      <c r="Q926" s="73"/>
      <c r="S926" s="64"/>
    </row>
    <row r="927" ht="15.75" customHeight="1">
      <c r="F927" s="64"/>
      <c r="I927" s="65"/>
      <c r="J927" s="66"/>
      <c r="K927" s="67"/>
      <c r="L927" s="68"/>
      <c r="M927" s="69"/>
      <c r="N927" s="70"/>
      <c r="O927" s="71"/>
      <c r="P927" s="72"/>
      <c r="Q927" s="73"/>
      <c r="S927" s="64"/>
    </row>
    <row r="928" ht="15.75" customHeight="1">
      <c r="F928" s="64"/>
      <c r="I928" s="65"/>
      <c r="J928" s="66"/>
      <c r="K928" s="67"/>
      <c r="L928" s="68"/>
      <c r="M928" s="69"/>
      <c r="N928" s="70"/>
      <c r="O928" s="71"/>
      <c r="P928" s="72"/>
      <c r="Q928" s="73"/>
      <c r="S928" s="64"/>
    </row>
    <row r="929" ht="15.75" customHeight="1">
      <c r="F929" s="64"/>
      <c r="I929" s="65"/>
      <c r="J929" s="66"/>
      <c r="K929" s="67"/>
      <c r="L929" s="68"/>
      <c r="M929" s="69"/>
      <c r="N929" s="70"/>
      <c r="O929" s="71"/>
      <c r="P929" s="72"/>
      <c r="Q929" s="73"/>
      <c r="S929" s="64"/>
    </row>
    <row r="930" ht="15.75" customHeight="1">
      <c r="F930" s="64"/>
      <c r="I930" s="65"/>
      <c r="J930" s="66"/>
      <c r="K930" s="67"/>
      <c r="L930" s="68"/>
      <c r="M930" s="69"/>
      <c r="N930" s="70"/>
      <c r="O930" s="71"/>
      <c r="P930" s="72"/>
      <c r="Q930" s="73"/>
      <c r="S930" s="64"/>
    </row>
    <row r="931" ht="15.75" customHeight="1">
      <c r="F931" s="64"/>
      <c r="I931" s="65"/>
      <c r="J931" s="66"/>
      <c r="K931" s="67"/>
      <c r="L931" s="68"/>
      <c r="M931" s="69"/>
      <c r="N931" s="70"/>
      <c r="O931" s="71"/>
      <c r="P931" s="72"/>
      <c r="Q931" s="73"/>
      <c r="S931" s="64"/>
    </row>
    <row r="932" ht="15.75" customHeight="1">
      <c r="F932" s="64"/>
      <c r="I932" s="65"/>
      <c r="J932" s="66"/>
      <c r="K932" s="67"/>
      <c r="L932" s="68"/>
      <c r="M932" s="69"/>
      <c r="N932" s="70"/>
      <c r="O932" s="71"/>
      <c r="P932" s="72"/>
      <c r="Q932" s="73"/>
      <c r="S932" s="64"/>
    </row>
    <row r="933" ht="15.75" customHeight="1">
      <c r="F933" s="64"/>
      <c r="I933" s="65"/>
      <c r="J933" s="66"/>
      <c r="K933" s="67"/>
      <c r="L933" s="68"/>
      <c r="M933" s="69"/>
      <c r="N933" s="70"/>
      <c r="O933" s="71"/>
      <c r="P933" s="72"/>
      <c r="Q933" s="73"/>
      <c r="S933" s="64"/>
    </row>
    <row r="934" ht="15.75" customHeight="1">
      <c r="F934" s="64"/>
      <c r="I934" s="65"/>
      <c r="J934" s="66"/>
      <c r="K934" s="67"/>
      <c r="L934" s="68"/>
      <c r="M934" s="69"/>
      <c r="N934" s="70"/>
      <c r="O934" s="71"/>
      <c r="P934" s="72"/>
      <c r="Q934" s="73"/>
      <c r="S934" s="64"/>
    </row>
    <row r="935" ht="15.75" customHeight="1">
      <c r="F935" s="64"/>
      <c r="I935" s="65"/>
      <c r="J935" s="66"/>
      <c r="K935" s="67"/>
      <c r="L935" s="68"/>
      <c r="M935" s="69"/>
      <c r="N935" s="70"/>
      <c r="O935" s="71"/>
      <c r="P935" s="72"/>
      <c r="Q935" s="73"/>
      <c r="S935" s="64"/>
    </row>
    <row r="936" ht="15.75" customHeight="1">
      <c r="F936" s="64"/>
      <c r="I936" s="65"/>
      <c r="J936" s="66"/>
      <c r="K936" s="67"/>
      <c r="L936" s="68"/>
      <c r="M936" s="69"/>
      <c r="N936" s="70"/>
      <c r="O936" s="71"/>
      <c r="P936" s="72"/>
      <c r="Q936" s="73"/>
      <c r="S936" s="64"/>
    </row>
    <row r="937" ht="15.75" customHeight="1">
      <c r="F937" s="64"/>
      <c r="I937" s="65"/>
      <c r="J937" s="66"/>
      <c r="K937" s="67"/>
      <c r="L937" s="68"/>
      <c r="M937" s="69"/>
      <c r="N937" s="70"/>
      <c r="O937" s="71"/>
      <c r="P937" s="72"/>
      <c r="Q937" s="73"/>
      <c r="S937" s="64"/>
    </row>
    <row r="938" ht="15.75" customHeight="1">
      <c r="F938" s="64"/>
      <c r="I938" s="65"/>
      <c r="J938" s="66"/>
      <c r="K938" s="67"/>
      <c r="L938" s="68"/>
      <c r="M938" s="69"/>
      <c r="N938" s="70"/>
      <c r="O938" s="71"/>
      <c r="P938" s="72"/>
      <c r="Q938" s="73"/>
      <c r="S938" s="64"/>
    </row>
    <row r="939" ht="15.75" customHeight="1">
      <c r="F939" s="64"/>
      <c r="I939" s="65"/>
      <c r="J939" s="66"/>
      <c r="K939" s="67"/>
      <c r="L939" s="68"/>
      <c r="M939" s="69"/>
      <c r="N939" s="70"/>
      <c r="O939" s="71"/>
      <c r="P939" s="72"/>
      <c r="Q939" s="73"/>
      <c r="S939" s="64"/>
    </row>
    <row r="940" ht="15.75" customHeight="1">
      <c r="F940" s="64"/>
      <c r="I940" s="65"/>
      <c r="J940" s="66"/>
      <c r="K940" s="67"/>
      <c r="L940" s="68"/>
      <c r="M940" s="69"/>
      <c r="N940" s="70"/>
      <c r="O940" s="71"/>
      <c r="P940" s="72"/>
      <c r="Q940" s="73"/>
      <c r="S940" s="64"/>
    </row>
    <row r="941" ht="15.75" customHeight="1">
      <c r="F941" s="64"/>
      <c r="I941" s="65"/>
      <c r="J941" s="66"/>
      <c r="K941" s="67"/>
      <c r="L941" s="68"/>
      <c r="M941" s="69"/>
      <c r="N941" s="70"/>
      <c r="O941" s="71"/>
      <c r="P941" s="72"/>
      <c r="Q941" s="73"/>
      <c r="S941" s="64"/>
    </row>
    <row r="942" ht="15.75" customHeight="1">
      <c r="F942" s="64"/>
      <c r="I942" s="65"/>
      <c r="J942" s="66"/>
      <c r="K942" s="67"/>
      <c r="L942" s="68"/>
      <c r="M942" s="69"/>
      <c r="N942" s="70"/>
      <c r="O942" s="71"/>
      <c r="P942" s="72"/>
      <c r="Q942" s="73"/>
      <c r="S942" s="64"/>
    </row>
    <row r="943" ht="15.75" customHeight="1">
      <c r="F943" s="64"/>
      <c r="I943" s="65"/>
      <c r="J943" s="66"/>
      <c r="K943" s="67"/>
      <c r="L943" s="68"/>
      <c r="M943" s="69"/>
      <c r="N943" s="70"/>
      <c r="O943" s="71"/>
      <c r="P943" s="72"/>
      <c r="Q943" s="73"/>
      <c r="S943" s="64"/>
    </row>
    <row r="944" ht="15.75" customHeight="1">
      <c r="F944" s="64"/>
      <c r="I944" s="65"/>
      <c r="J944" s="66"/>
      <c r="K944" s="67"/>
      <c r="L944" s="68"/>
      <c r="M944" s="69"/>
      <c r="N944" s="70"/>
      <c r="O944" s="71"/>
      <c r="P944" s="72"/>
      <c r="Q944" s="73"/>
      <c r="S944" s="64"/>
    </row>
    <row r="945" ht="15.75" customHeight="1">
      <c r="F945" s="64"/>
      <c r="I945" s="65"/>
      <c r="J945" s="66"/>
      <c r="K945" s="67"/>
      <c r="L945" s="68"/>
      <c r="M945" s="69"/>
      <c r="N945" s="70"/>
      <c r="O945" s="71"/>
      <c r="P945" s="72"/>
      <c r="Q945" s="73"/>
      <c r="S945" s="64"/>
    </row>
    <row r="946" ht="15.75" customHeight="1">
      <c r="F946" s="64"/>
      <c r="I946" s="65"/>
      <c r="J946" s="66"/>
      <c r="K946" s="67"/>
      <c r="L946" s="68"/>
      <c r="M946" s="69"/>
      <c r="N946" s="70"/>
      <c r="O946" s="71"/>
      <c r="P946" s="72"/>
      <c r="Q946" s="73"/>
      <c r="S946" s="64"/>
    </row>
    <row r="947" ht="15.75" customHeight="1">
      <c r="F947" s="64"/>
      <c r="I947" s="65"/>
      <c r="J947" s="66"/>
      <c r="K947" s="67"/>
      <c r="L947" s="68"/>
      <c r="M947" s="69"/>
      <c r="N947" s="70"/>
      <c r="O947" s="71"/>
      <c r="P947" s="72"/>
      <c r="Q947" s="73"/>
      <c r="S947" s="64"/>
    </row>
    <row r="948" ht="15.75" customHeight="1">
      <c r="F948" s="64"/>
      <c r="I948" s="65"/>
      <c r="J948" s="66"/>
      <c r="K948" s="67"/>
      <c r="L948" s="68"/>
      <c r="M948" s="69"/>
      <c r="N948" s="70"/>
      <c r="O948" s="71"/>
      <c r="P948" s="72"/>
      <c r="Q948" s="73"/>
      <c r="S948" s="64"/>
    </row>
    <row r="949" ht="15.75" customHeight="1">
      <c r="F949" s="64"/>
      <c r="I949" s="65"/>
      <c r="J949" s="66"/>
      <c r="K949" s="67"/>
      <c r="L949" s="68"/>
      <c r="M949" s="69"/>
      <c r="N949" s="70"/>
      <c r="O949" s="71"/>
      <c r="P949" s="72"/>
      <c r="Q949" s="73"/>
      <c r="S949" s="64"/>
    </row>
    <row r="950" ht="15.75" customHeight="1">
      <c r="F950" s="64"/>
      <c r="I950" s="65"/>
      <c r="J950" s="66"/>
      <c r="K950" s="67"/>
      <c r="L950" s="68"/>
      <c r="M950" s="69"/>
      <c r="N950" s="70"/>
      <c r="O950" s="71"/>
      <c r="P950" s="72"/>
      <c r="Q950" s="73"/>
      <c r="S950" s="64"/>
    </row>
    <row r="951" ht="15.75" customHeight="1">
      <c r="F951" s="64"/>
      <c r="I951" s="65"/>
      <c r="J951" s="66"/>
      <c r="K951" s="67"/>
      <c r="L951" s="68"/>
      <c r="M951" s="69"/>
      <c r="N951" s="70"/>
      <c r="O951" s="71"/>
      <c r="P951" s="72"/>
      <c r="Q951" s="73"/>
      <c r="S951" s="64"/>
    </row>
    <row r="952" ht="15.75" customHeight="1">
      <c r="F952" s="64"/>
      <c r="I952" s="65"/>
      <c r="J952" s="66"/>
      <c r="K952" s="67"/>
      <c r="L952" s="68"/>
      <c r="M952" s="69"/>
      <c r="N952" s="70"/>
      <c r="O952" s="71"/>
      <c r="P952" s="72"/>
      <c r="Q952" s="73"/>
      <c r="S952" s="64"/>
    </row>
    <row r="953" ht="15.75" customHeight="1">
      <c r="F953" s="64"/>
      <c r="I953" s="65"/>
      <c r="J953" s="66"/>
      <c r="K953" s="67"/>
      <c r="L953" s="68"/>
      <c r="M953" s="69"/>
      <c r="N953" s="70"/>
      <c r="O953" s="71"/>
      <c r="P953" s="72"/>
      <c r="Q953" s="73"/>
      <c r="S953" s="64"/>
    </row>
    <row r="954" ht="15.75" customHeight="1">
      <c r="F954" s="64"/>
      <c r="I954" s="65"/>
      <c r="J954" s="66"/>
      <c r="K954" s="67"/>
      <c r="L954" s="68"/>
      <c r="M954" s="69"/>
      <c r="N954" s="70"/>
      <c r="O954" s="71"/>
      <c r="P954" s="72"/>
      <c r="Q954" s="73"/>
      <c r="S954" s="64"/>
    </row>
    <row r="955" ht="15.75" customHeight="1">
      <c r="F955" s="64"/>
      <c r="I955" s="65"/>
      <c r="J955" s="66"/>
      <c r="K955" s="67"/>
      <c r="L955" s="68"/>
      <c r="M955" s="69"/>
      <c r="N955" s="70"/>
      <c r="O955" s="71"/>
      <c r="P955" s="72"/>
      <c r="Q955" s="73"/>
      <c r="S955" s="64"/>
    </row>
    <row r="956" ht="15.75" customHeight="1">
      <c r="F956" s="64"/>
      <c r="I956" s="65"/>
      <c r="J956" s="66"/>
      <c r="K956" s="67"/>
      <c r="L956" s="68"/>
      <c r="M956" s="69"/>
      <c r="N956" s="70"/>
      <c r="O956" s="71"/>
      <c r="P956" s="72"/>
      <c r="Q956" s="73"/>
      <c r="S956" s="64"/>
    </row>
    <row r="957" ht="15.75" customHeight="1">
      <c r="F957" s="64"/>
      <c r="I957" s="65"/>
      <c r="J957" s="66"/>
      <c r="K957" s="67"/>
      <c r="L957" s="68"/>
      <c r="M957" s="69"/>
      <c r="N957" s="70"/>
      <c r="O957" s="71"/>
      <c r="P957" s="72"/>
      <c r="Q957" s="73"/>
      <c r="S957" s="64"/>
    </row>
    <row r="958" ht="15.75" customHeight="1">
      <c r="F958" s="64"/>
      <c r="I958" s="65"/>
      <c r="J958" s="66"/>
      <c r="K958" s="67"/>
      <c r="L958" s="68"/>
      <c r="M958" s="69"/>
      <c r="N958" s="70"/>
      <c r="O958" s="71"/>
      <c r="P958" s="72"/>
      <c r="Q958" s="73"/>
      <c r="S958" s="64"/>
    </row>
    <row r="959" ht="15.75" customHeight="1">
      <c r="F959" s="64"/>
      <c r="I959" s="65"/>
      <c r="J959" s="66"/>
      <c r="K959" s="67"/>
      <c r="L959" s="68"/>
      <c r="M959" s="69"/>
      <c r="N959" s="70"/>
      <c r="O959" s="71"/>
      <c r="P959" s="72"/>
      <c r="Q959" s="73"/>
      <c r="S959" s="64"/>
    </row>
    <row r="960" ht="15.75" customHeight="1">
      <c r="F960" s="64"/>
      <c r="I960" s="65"/>
      <c r="J960" s="66"/>
      <c r="K960" s="67"/>
      <c r="L960" s="68"/>
      <c r="M960" s="69"/>
      <c r="N960" s="70"/>
      <c r="O960" s="71"/>
      <c r="P960" s="72"/>
      <c r="Q960" s="73"/>
      <c r="S960" s="64"/>
    </row>
    <row r="961" ht="15.75" customHeight="1">
      <c r="F961" s="64"/>
      <c r="I961" s="65"/>
      <c r="J961" s="66"/>
      <c r="K961" s="67"/>
      <c r="L961" s="68"/>
      <c r="M961" s="69"/>
      <c r="N961" s="70"/>
      <c r="O961" s="71"/>
      <c r="P961" s="72"/>
      <c r="Q961" s="73"/>
      <c r="S961" s="64"/>
    </row>
    <row r="962" ht="15.75" customHeight="1">
      <c r="F962" s="64"/>
      <c r="I962" s="65"/>
      <c r="J962" s="66"/>
      <c r="K962" s="67"/>
      <c r="L962" s="68"/>
      <c r="M962" s="69"/>
      <c r="N962" s="70"/>
      <c r="O962" s="71"/>
      <c r="P962" s="72"/>
      <c r="Q962" s="73"/>
      <c r="S962" s="64"/>
    </row>
    <row r="963" ht="15.75" customHeight="1">
      <c r="F963" s="64"/>
      <c r="I963" s="65"/>
      <c r="J963" s="66"/>
      <c r="K963" s="67"/>
      <c r="L963" s="68"/>
      <c r="M963" s="69"/>
      <c r="N963" s="70"/>
      <c r="O963" s="71"/>
      <c r="P963" s="72"/>
      <c r="Q963" s="73"/>
      <c r="S963" s="64"/>
    </row>
    <row r="964" ht="15.75" customHeight="1">
      <c r="F964" s="64"/>
      <c r="I964" s="65"/>
      <c r="J964" s="66"/>
      <c r="K964" s="67"/>
      <c r="L964" s="68"/>
      <c r="M964" s="69"/>
      <c r="N964" s="70"/>
      <c r="O964" s="71"/>
      <c r="P964" s="72"/>
      <c r="Q964" s="73"/>
      <c r="S964" s="64"/>
    </row>
    <row r="965" ht="15.75" customHeight="1">
      <c r="F965" s="64"/>
      <c r="I965" s="65"/>
      <c r="J965" s="66"/>
      <c r="K965" s="67"/>
      <c r="L965" s="68"/>
      <c r="M965" s="69"/>
      <c r="N965" s="70"/>
      <c r="O965" s="71"/>
      <c r="P965" s="72"/>
      <c r="Q965" s="73"/>
      <c r="S965" s="64"/>
    </row>
    <row r="966" ht="15.75" customHeight="1">
      <c r="F966" s="64"/>
      <c r="I966" s="65"/>
      <c r="J966" s="66"/>
      <c r="K966" s="67"/>
      <c r="L966" s="68"/>
      <c r="M966" s="69"/>
      <c r="N966" s="70"/>
      <c r="O966" s="71"/>
      <c r="P966" s="72"/>
      <c r="Q966" s="73"/>
      <c r="S966" s="64"/>
    </row>
    <row r="967" ht="15.75" customHeight="1">
      <c r="F967" s="64"/>
      <c r="I967" s="65"/>
      <c r="J967" s="66"/>
      <c r="K967" s="67"/>
      <c r="L967" s="68"/>
      <c r="M967" s="69"/>
      <c r="N967" s="70"/>
      <c r="O967" s="71"/>
      <c r="P967" s="72"/>
      <c r="Q967" s="73"/>
      <c r="S967" s="64"/>
    </row>
    <row r="968" ht="15.75" customHeight="1">
      <c r="F968" s="64"/>
      <c r="I968" s="65"/>
      <c r="J968" s="66"/>
      <c r="K968" s="67"/>
      <c r="L968" s="68"/>
      <c r="M968" s="69"/>
      <c r="N968" s="70"/>
      <c r="O968" s="71"/>
      <c r="P968" s="72"/>
      <c r="Q968" s="73"/>
      <c r="S968" s="64"/>
    </row>
    <row r="969" ht="15.75" customHeight="1">
      <c r="F969" s="64"/>
      <c r="I969" s="65"/>
      <c r="J969" s="66"/>
      <c r="K969" s="67"/>
      <c r="L969" s="68"/>
      <c r="M969" s="69"/>
      <c r="N969" s="70"/>
      <c r="O969" s="71"/>
      <c r="P969" s="72"/>
      <c r="Q969" s="73"/>
      <c r="S969" s="64"/>
    </row>
    <row r="970" ht="15.75" customHeight="1">
      <c r="F970" s="64"/>
      <c r="I970" s="65"/>
      <c r="J970" s="66"/>
      <c r="K970" s="67"/>
      <c r="L970" s="68"/>
      <c r="M970" s="69"/>
      <c r="N970" s="70"/>
      <c r="O970" s="71"/>
      <c r="P970" s="72"/>
      <c r="Q970" s="73"/>
      <c r="S970" s="64"/>
    </row>
    <row r="971" ht="15.75" customHeight="1">
      <c r="F971" s="64"/>
      <c r="I971" s="65"/>
      <c r="J971" s="66"/>
      <c r="K971" s="67"/>
      <c r="L971" s="68"/>
      <c r="M971" s="69"/>
      <c r="N971" s="70"/>
      <c r="O971" s="71"/>
      <c r="P971" s="72"/>
      <c r="Q971" s="73"/>
      <c r="S971" s="64"/>
    </row>
    <row r="972" ht="15.75" customHeight="1">
      <c r="F972" s="64"/>
      <c r="I972" s="65"/>
      <c r="J972" s="66"/>
      <c r="K972" s="67"/>
      <c r="L972" s="68"/>
      <c r="M972" s="69"/>
      <c r="N972" s="70"/>
      <c r="O972" s="71"/>
      <c r="P972" s="72"/>
      <c r="Q972" s="73"/>
      <c r="S972" s="64"/>
    </row>
    <row r="973" ht="15.75" customHeight="1">
      <c r="F973" s="64"/>
      <c r="I973" s="65"/>
      <c r="J973" s="66"/>
      <c r="K973" s="67"/>
      <c r="L973" s="68"/>
      <c r="M973" s="69"/>
      <c r="N973" s="70"/>
      <c r="O973" s="71"/>
      <c r="P973" s="72"/>
      <c r="Q973" s="73"/>
      <c r="S973" s="64"/>
    </row>
    <row r="974" ht="15.75" customHeight="1">
      <c r="F974" s="64"/>
      <c r="I974" s="65"/>
      <c r="J974" s="66"/>
      <c r="K974" s="67"/>
      <c r="L974" s="68"/>
      <c r="M974" s="69"/>
      <c r="N974" s="70"/>
      <c r="O974" s="71"/>
      <c r="P974" s="72"/>
      <c r="Q974" s="73"/>
      <c r="S974" s="64"/>
    </row>
    <row r="975" ht="15.75" customHeight="1">
      <c r="F975" s="64"/>
      <c r="I975" s="65"/>
      <c r="J975" s="66"/>
      <c r="K975" s="67"/>
      <c r="L975" s="68"/>
      <c r="M975" s="69"/>
      <c r="N975" s="70"/>
      <c r="O975" s="71"/>
      <c r="P975" s="72"/>
      <c r="Q975" s="73"/>
      <c r="S975" s="64"/>
    </row>
    <row r="976" ht="15.75" customHeight="1">
      <c r="F976" s="64"/>
      <c r="I976" s="65"/>
      <c r="J976" s="66"/>
      <c r="K976" s="67"/>
      <c r="L976" s="68"/>
      <c r="M976" s="69"/>
      <c r="N976" s="70"/>
      <c r="O976" s="71"/>
      <c r="P976" s="72"/>
      <c r="Q976" s="73"/>
      <c r="S976" s="64"/>
    </row>
    <row r="977" ht="15.75" customHeight="1">
      <c r="F977" s="64"/>
      <c r="I977" s="65"/>
      <c r="J977" s="66"/>
      <c r="K977" s="67"/>
      <c r="L977" s="68"/>
      <c r="M977" s="69"/>
      <c r="N977" s="70"/>
      <c r="O977" s="71"/>
      <c r="P977" s="72"/>
      <c r="Q977" s="73"/>
      <c r="S977" s="64"/>
    </row>
    <row r="978" ht="15.75" customHeight="1">
      <c r="F978" s="64"/>
      <c r="I978" s="65"/>
      <c r="J978" s="66"/>
      <c r="K978" s="67"/>
      <c r="L978" s="68"/>
      <c r="M978" s="69"/>
      <c r="N978" s="70"/>
      <c r="O978" s="71"/>
      <c r="P978" s="72"/>
      <c r="Q978" s="73"/>
      <c r="S978" s="64"/>
    </row>
    <row r="979" ht="15.75" customHeight="1">
      <c r="F979" s="64"/>
      <c r="I979" s="65"/>
      <c r="J979" s="66"/>
      <c r="K979" s="67"/>
      <c r="L979" s="68"/>
      <c r="M979" s="69"/>
      <c r="N979" s="70"/>
      <c r="O979" s="71"/>
      <c r="P979" s="72"/>
      <c r="Q979" s="73"/>
      <c r="S979" s="64"/>
    </row>
    <row r="980" ht="15.75" customHeight="1">
      <c r="F980" s="64"/>
      <c r="I980" s="65"/>
      <c r="J980" s="66"/>
      <c r="K980" s="67"/>
      <c r="L980" s="68"/>
      <c r="M980" s="69"/>
      <c r="N980" s="70"/>
      <c r="O980" s="71"/>
      <c r="P980" s="72"/>
      <c r="Q980" s="73"/>
      <c r="S980" s="64"/>
    </row>
    <row r="981" ht="15.75" customHeight="1">
      <c r="F981" s="64"/>
      <c r="I981" s="65"/>
      <c r="J981" s="66"/>
      <c r="K981" s="67"/>
      <c r="L981" s="68"/>
      <c r="M981" s="69"/>
      <c r="N981" s="70"/>
      <c r="O981" s="71"/>
      <c r="P981" s="72"/>
      <c r="Q981" s="73"/>
      <c r="S981" s="64"/>
    </row>
    <row r="982" ht="15.75" customHeight="1">
      <c r="F982" s="64"/>
      <c r="I982" s="65"/>
      <c r="J982" s="66"/>
      <c r="K982" s="67"/>
      <c r="L982" s="68"/>
      <c r="M982" s="69"/>
      <c r="N982" s="70"/>
      <c r="O982" s="71"/>
      <c r="P982" s="72"/>
      <c r="Q982" s="73"/>
      <c r="S982" s="64"/>
    </row>
    <row r="983" ht="15.75" customHeight="1">
      <c r="F983" s="64"/>
      <c r="I983" s="65"/>
      <c r="J983" s="66"/>
      <c r="K983" s="67"/>
      <c r="L983" s="68"/>
      <c r="M983" s="69"/>
      <c r="N983" s="70"/>
      <c r="O983" s="71"/>
      <c r="P983" s="72"/>
      <c r="Q983" s="73"/>
      <c r="S983" s="64"/>
    </row>
    <row r="984" ht="15.75" customHeight="1">
      <c r="F984" s="64"/>
      <c r="I984" s="65"/>
      <c r="J984" s="66"/>
      <c r="K984" s="67"/>
      <c r="L984" s="68"/>
      <c r="M984" s="69"/>
      <c r="N984" s="70"/>
      <c r="O984" s="71"/>
      <c r="P984" s="72"/>
      <c r="Q984" s="73"/>
      <c r="S984" s="64"/>
    </row>
    <row r="985" ht="15.75" customHeight="1">
      <c r="F985" s="64"/>
      <c r="I985" s="65"/>
      <c r="J985" s="66"/>
      <c r="K985" s="67"/>
      <c r="L985" s="68"/>
      <c r="M985" s="69"/>
      <c r="N985" s="70"/>
      <c r="O985" s="71"/>
      <c r="P985" s="72"/>
      <c r="Q985" s="73"/>
      <c r="S985" s="64"/>
    </row>
    <row r="986" ht="15.75" customHeight="1">
      <c r="F986" s="64"/>
      <c r="I986" s="65"/>
      <c r="J986" s="66"/>
      <c r="K986" s="67"/>
      <c r="L986" s="68"/>
      <c r="M986" s="69"/>
      <c r="N986" s="70"/>
      <c r="O986" s="71"/>
      <c r="P986" s="72"/>
      <c r="Q986" s="73"/>
      <c r="S986" s="64"/>
    </row>
    <row r="987" ht="15.75" customHeight="1">
      <c r="F987" s="64"/>
      <c r="I987" s="65"/>
      <c r="J987" s="66"/>
      <c r="K987" s="67"/>
      <c r="L987" s="68"/>
      <c r="M987" s="69"/>
      <c r="N987" s="70"/>
      <c r="O987" s="71"/>
      <c r="P987" s="72"/>
      <c r="Q987" s="73"/>
      <c r="S987" s="64"/>
    </row>
    <row r="988" ht="15.75" customHeight="1">
      <c r="F988" s="64"/>
      <c r="I988" s="65"/>
      <c r="J988" s="66"/>
      <c r="K988" s="67"/>
      <c r="L988" s="68"/>
      <c r="M988" s="69"/>
      <c r="N988" s="70"/>
      <c r="O988" s="71"/>
      <c r="P988" s="72"/>
      <c r="Q988" s="73"/>
      <c r="S988" s="64"/>
    </row>
    <row r="989" ht="15.75" customHeight="1">
      <c r="F989" s="64"/>
      <c r="I989" s="65"/>
      <c r="J989" s="66"/>
      <c r="K989" s="67"/>
      <c r="L989" s="68"/>
      <c r="M989" s="69"/>
      <c r="N989" s="70"/>
      <c r="O989" s="71"/>
      <c r="P989" s="72"/>
      <c r="Q989" s="73"/>
      <c r="S989" s="64"/>
    </row>
    <row r="990" ht="15.75" customHeight="1">
      <c r="F990" s="64"/>
      <c r="I990" s="65"/>
      <c r="J990" s="66"/>
      <c r="K990" s="67"/>
      <c r="L990" s="68"/>
      <c r="M990" s="69"/>
      <c r="N990" s="70"/>
      <c r="O990" s="71"/>
      <c r="P990" s="72"/>
      <c r="Q990" s="73"/>
      <c r="S990" s="64"/>
    </row>
    <row r="991" ht="15.75" customHeight="1">
      <c r="F991" s="64"/>
      <c r="I991" s="65"/>
      <c r="J991" s="66"/>
      <c r="K991" s="67"/>
      <c r="L991" s="68"/>
      <c r="M991" s="69"/>
      <c r="N991" s="70"/>
      <c r="O991" s="71"/>
      <c r="P991" s="72"/>
      <c r="Q991" s="73"/>
      <c r="S991" s="64"/>
    </row>
    <row r="992" ht="15.75" customHeight="1">
      <c r="F992" s="64"/>
      <c r="I992" s="65"/>
      <c r="J992" s="66"/>
      <c r="K992" s="67"/>
      <c r="L992" s="68"/>
      <c r="M992" s="69"/>
      <c r="N992" s="70"/>
      <c r="O992" s="71"/>
      <c r="P992" s="72"/>
      <c r="Q992" s="73"/>
      <c r="S992" s="64"/>
    </row>
    <row r="993" ht="15.75" customHeight="1">
      <c r="F993" s="64"/>
      <c r="I993" s="65"/>
      <c r="J993" s="66"/>
      <c r="K993" s="67"/>
      <c r="L993" s="68"/>
      <c r="M993" s="69"/>
      <c r="N993" s="70"/>
      <c r="O993" s="71"/>
      <c r="P993" s="72"/>
      <c r="Q993" s="73"/>
      <c r="S993" s="64"/>
    </row>
    <row r="994" ht="15.75" customHeight="1">
      <c r="F994" s="64"/>
      <c r="I994" s="65"/>
      <c r="J994" s="66"/>
      <c r="K994" s="67"/>
      <c r="L994" s="68"/>
      <c r="M994" s="69"/>
      <c r="N994" s="70"/>
      <c r="O994" s="71"/>
      <c r="P994" s="72"/>
      <c r="Q994" s="73"/>
      <c r="S994" s="64"/>
    </row>
    <row r="995" ht="15.75" customHeight="1">
      <c r="F995" s="64"/>
      <c r="I995" s="65"/>
      <c r="J995" s="66"/>
      <c r="K995" s="67"/>
      <c r="L995" s="68"/>
      <c r="M995" s="69"/>
      <c r="N995" s="70"/>
      <c r="O995" s="71"/>
      <c r="P995" s="72"/>
      <c r="Q995" s="73"/>
      <c r="S995" s="64"/>
    </row>
    <row r="996" ht="15.75" customHeight="1">
      <c r="F996" s="64"/>
      <c r="I996" s="65"/>
      <c r="J996" s="66"/>
      <c r="K996" s="67"/>
      <c r="L996" s="68"/>
      <c r="M996" s="69"/>
      <c r="N996" s="70"/>
      <c r="O996" s="71"/>
      <c r="P996" s="72"/>
      <c r="Q996" s="73"/>
      <c r="S996" s="64"/>
    </row>
    <row r="997" ht="15.75" customHeight="1">
      <c r="F997" s="64"/>
      <c r="I997" s="65"/>
      <c r="J997" s="66"/>
      <c r="K997" s="67"/>
      <c r="L997" s="68"/>
      <c r="M997" s="69"/>
      <c r="N997" s="70"/>
      <c r="O997" s="71"/>
      <c r="P997" s="72"/>
      <c r="Q997" s="73"/>
      <c r="S997" s="64"/>
    </row>
    <row r="998" ht="15.75" customHeight="1">
      <c r="F998" s="64"/>
      <c r="I998" s="65"/>
      <c r="J998" s="66"/>
      <c r="K998" s="67"/>
      <c r="L998" s="68"/>
      <c r="M998" s="69"/>
      <c r="N998" s="70"/>
      <c r="O998" s="71"/>
      <c r="P998" s="72"/>
      <c r="Q998" s="73"/>
      <c r="S998" s="64"/>
    </row>
    <row r="999" ht="15.75" customHeight="1">
      <c r="F999" s="64"/>
      <c r="I999" s="65"/>
      <c r="J999" s="66"/>
      <c r="K999" s="67"/>
      <c r="L999" s="68"/>
      <c r="M999" s="69"/>
      <c r="N999" s="70"/>
      <c r="O999" s="71"/>
      <c r="P999" s="72"/>
      <c r="Q999" s="73"/>
      <c r="S999" s="64"/>
    </row>
    <row r="1000" ht="15.75" customHeight="1">
      <c r="F1000" s="64"/>
      <c r="I1000" s="65"/>
      <c r="J1000" s="66"/>
      <c r="K1000" s="67"/>
      <c r="L1000" s="68"/>
      <c r="M1000" s="69"/>
      <c r="N1000" s="70"/>
      <c r="O1000" s="71"/>
      <c r="P1000" s="72"/>
      <c r="Q1000" s="73"/>
      <c r="S1000" s="64"/>
    </row>
  </sheetData>
  <hyperlinks>
    <hyperlink ref="B2" r:id="rId1"/>
    <hyperlink ref="B3" r:id="rId2"/>
    <hyperlink ref="B4" r:id="rId3"/>
    <hyperlink ref="B5" r:id="rId4"/>
    <hyperlink ref="B6" r:id="rId5"/>
    <hyperlink ref="B7" r:id="rId6"/>
    <hyperlink ref="B8" r:id="rId7"/>
    <hyperlink ref="B9" r:id="rId8"/>
    <hyperlink ref="B10" r:id="rId9"/>
    <hyperlink ref="B11" r:id="rId10"/>
    <hyperlink ref="B12" r:id="rId11"/>
    <hyperlink ref="B13" r:id="rId12"/>
    <hyperlink ref="B14" r:id="rId13"/>
    <hyperlink ref="B15" r:id="rId14"/>
    <hyperlink ref="B16" r:id="rId15"/>
    <hyperlink ref="B17" r:id="rId16"/>
    <hyperlink ref="B18" r:id="rId17"/>
    <hyperlink ref="B19" r:id="rId18"/>
    <hyperlink ref="B20" r:id="rId19"/>
    <hyperlink ref="B21" r:id="rId20"/>
    <hyperlink ref="B22" r:id="rId21"/>
    <hyperlink ref="B23" r:id="rId22"/>
    <hyperlink ref="B24" r:id="rId23"/>
    <hyperlink ref="B25" r:id="rId24"/>
    <hyperlink ref="B26" r:id="rId25"/>
    <hyperlink ref="B27" r:id="rId26"/>
    <hyperlink ref="B28" r:id="rId27"/>
    <hyperlink ref="B29" r:id="rId28"/>
    <hyperlink ref="B30" r:id="rId29"/>
    <hyperlink ref="B31" r:id="rId30"/>
    <hyperlink ref="B32" r:id="rId31"/>
    <hyperlink ref="B33" r:id="rId32"/>
    <hyperlink ref="B34" r:id="rId33"/>
    <hyperlink ref="B35" r:id="rId34"/>
    <hyperlink ref="B36" r:id="rId35"/>
    <hyperlink ref="B37" r:id="rId36"/>
    <hyperlink ref="B38" r:id="rId37"/>
    <hyperlink ref="B39" r:id="rId38"/>
    <hyperlink ref="B40" r:id="rId39"/>
    <hyperlink ref="B41" r:id="rId40"/>
    <hyperlink ref="B42" r:id="rId41"/>
    <hyperlink ref="B43" r:id="rId42"/>
    <hyperlink ref="B44" r:id="rId43"/>
    <hyperlink ref="B45" r:id="rId44"/>
    <hyperlink ref="B46" r:id="rId45"/>
    <hyperlink ref="B47" r:id="rId46"/>
    <hyperlink ref="B48" r:id="rId47"/>
    <hyperlink ref="B49" r:id="rId48"/>
    <hyperlink ref="B50" r:id="rId49"/>
    <hyperlink ref="B51" r:id="rId50"/>
    <hyperlink ref="B52" r:id="rId51"/>
    <hyperlink ref="B53" r:id="rId52"/>
    <hyperlink ref="B54" r:id="rId53"/>
    <hyperlink ref="B55" r:id="rId54"/>
    <hyperlink ref="B56" r:id="rId55"/>
    <hyperlink ref="B57" r:id="rId56"/>
    <hyperlink ref="B58" r:id="rId57"/>
    <hyperlink ref="B59" r:id="rId58"/>
    <hyperlink ref="B60" r:id="rId59"/>
  </hyperlinks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>
  <Application>DevExpress Office File API/22.1.4.0</Application>
  <AppVersion>22.1</AppVersion>
</Properties>
</file>

<file path=docProps/core.xml><?xml version="1.0" encoding="utf-8"?>
<cp:coreProperties xmlns:dc="http://purl.org/dc/elements/1.1/" xmlns:dcterms="http://purl.org/dc/terms/" xmlns:xsi="http://www.w3.org/2001/XMLSchema-instance" xmlns:cp="http://schemas.openxmlformats.org/package/2006/metadata/core-properties">
  <dc:creator>openpyxl</dc:creator>
  <cp:lastModifiedBy>DESKTOP-Q9JV3KP\User</cp:lastModifiedBy>
  <dcterms:created xsi:type="dcterms:W3CDTF">2024-07-29T12:51:18Z</dcterms:created>
  <dcterms:modified xsi:type="dcterms:W3CDTF">2026-04-16T23:36:32Z</dcterms:modified>
</cp:coreProperties>
</file>